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R:\2000 Ressources materielles et immobilileres\2240 Location et utilisation de l'espace\GRANDS ESPACES\2026-2027 -1er juillet au 30 juin\"/>
    </mc:Choice>
  </mc:AlternateContent>
  <xr:revisionPtr revIDLastSave="0" documentId="13_ncr:1_{2E81DE25-3540-4F7C-B595-8B047E78A57A}" xr6:coauthVersionLast="47" xr6:coauthVersionMax="47" xr10:uidLastSave="{00000000-0000-0000-0000-000000000000}"/>
  <bookViews>
    <workbookView xWindow="-120" yWindow="-120" windowWidth="29040" windowHeight="15720" xr2:uid="{B6C14342-CDA5-49FE-BCE7-A23E3CDF2994}"/>
  </bookViews>
  <sheets>
    <sheet name="ACTIVITÉS" sheetId="1" r:id="rId1"/>
    <sheet name="Interne-Externe" sheetId="13" r:id="rId2"/>
    <sheet name="SOMMAIRE PAR DÉPARTEMENTS" sheetId="12" r:id="rId3"/>
    <sheet name="SALLES" sheetId="11" r:id="rId4"/>
    <sheet name="Catégorie" sheetId="10" r:id="rId5"/>
    <sheet name="Notes" sheetId="8" r:id="rId6"/>
  </sheets>
  <definedNames>
    <definedName name="_xlnm._FilterDatabase" localSheetId="2" hidden="1">'SOMMAIRE PAR DÉPARTEMENTS'!$A$1:$A$264</definedName>
    <definedName name="_xlnm.Print_Titles" localSheetId="0">ACTIVITÉS!$1:$1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8" i="1"/>
  <c r="F39" i="1"/>
  <c r="F40" i="1"/>
  <c r="F41" i="1"/>
  <c r="F42" i="1"/>
  <c r="F43" i="1"/>
  <c r="F44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B5" i="11" l="1"/>
  <c r="B11" i="12"/>
  <c r="B14" i="12"/>
  <c r="B15" i="12"/>
  <c r="AH2" i="1"/>
  <c r="B12" i="12" l="1"/>
  <c r="B9" i="12"/>
  <c r="B13" i="12"/>
  <c r="B4" i="12"/>
  <c r="B3" i="12"/>
  <c r="B2" i="12"/>
  <c r="B7" i="12"/>
  <c r="B8" i="12"/>
  <c r="B5" i="12"/>
  <c r="B10" i="12"/>
  <c r="B6" i="12"/>
</calcChain>
</file>

<file path=xl/sharedStrings.xml><?xml version="1.0" encoding="utf-8"?>
<sst xmlns="http://schemas.openxmlformats.org/spreadsheetml/2006/main" count="125" uniqueCount="112">
  <si>
    <t>NUMERO ACTIVITE</t>
  </si>
  <si>
    <t xml:space="preserve"> </t>
  </si>
  <si>
    <t>BICQ</t>
  </si>
  <si>
    <t>200$ par jour</t>
  </si>
  <si>
    <t xml:space="preserve">POLY sans frais </t>
  </si>
  <si>
    <t>175$ par jour</t>
  </si>
  <si>
    <t>DIRECTION DES ÉTUDES</t>
  </si>
  <si>
    <t>enseignants</t>
  </si>
  <si>
    <t>DEVE</t>
  </si>
  <si>
    <t>CATÉGORIE (Rébecca)</t>
  </si>
  <si>
    <t>NOM DE L'ACTIVITÉ</t>
  </si>
  <si>
    <t>RESPONSABLE FACTURATION</t>
  </si>
  <si>
    <t>TEMPS RÉMI (en heure)</t>
  </si>
  <si>
    <t>NUMÉRO DE FACTURE, RÉQUISITION INTERNE OU ENCAISSEMENT</t>
  </si>
  <si>
    <t>HALL SFB</t>
  </si>
  <si>
    <t>DIRECTION GÉNÉRALE</t>
  </si>
  <si>
    <t>REVENUS TOTAL RÉÈL</t>
  </si>
  <si>
    <t>SALLE</t>
  </si>
  <si>
    <t>POLY</t>
  </si>
  <si>
    <t>SFB-POLY</t>
  </si>
  <si>
    <t>SALON</t>
  </si>
  <si>
    <t xml:space="preserve">SFB sans frais </t>
  </si>
  <si>
    <t>DATE DÉBUT</t>
  </si>
  <si>
    <t>DATE FIN</t>
  </si>
  <si>
    <t>SALON SFB sans frais</t>
  </si>
  <si>
    <t>50$/jour</t>
  </si>
  <si>
    <t>vie étudiante qui relève de Sophie Huppé</t>
  </si>
  <si>
    <t>VIE ÉTUDIANTE (SOPHIE HUPPÉ)</t>
  </si>
  <si>
    <t>DIRECTION DES ÉTUDES (ENSEIGNANTS)</t>
  </si>
  <si>
    <t>COMMUNICATION</t>
  </si>
  <si>
    <t>DSATC</t>
  </si>
  <si>
    <r>
      <t xml:space="preserve">Nbre jour occupation </t>
    </r>
    <r>
      <rPr>
        <b/>
        <sz val="10"/>
        <color rgb="FFFF0000"/>
        <rFont val="Arial"/>
        <family val="2"/>
      </rPr>
      <t>(formule)</t>
    </r>
  </si>
  <si>
    <t>ANIMATION PÉDAGOGIQUE (ALEXANDRA  HÉBERT)</t>
  </si>
  <si>
    <t>ACEECJ</t>
  </si>
  <si>
    <t>FONDATION ASSELIN</t>
  </si>
  <si>
    <t>Bleu</t>
  </si>
  <si>
    <t>Vert</t>
  </si>
  <si>
    <t>Jaune</t>
  </si>
  <si>
    <t>PRIX INTERNE</t>
  </si>
  <si>
    <t>PRIX EXTERNE</t>
  </si>
  <si>
    <t>SFB-SALON-HALL</t>
  </si>
  <si>
    <r>
      <t xml:space="preserve">DÉPARTEMENT </t>
    </r>
    <r>
      <rPr>
        <b/>
        <sz val="10"/>
        <color rgb="FFFF0000"/>
        <rFont val="Arial"/>
        <family val="2"/>
      </rPr>
      <t>(menu déroulant À VENIR)</t>
    </r>
  </si>
  <si>
    <r>
      <t xml:space="preserve">SALLE </t>
    </r>
    <r>
      <rPr>
        <b/>
        <sz val="10"/>
        <color rgb="FFFF0000"/>
        <rFont val="Arial"/>
        <family val="2"/>
      </rPr>
      <t>(menu déroulant)</t>
    </r>
  </si>
  <si>
    <t>NE PAS MODIFIER LES NOMS DES SALLES, CAR ÇA NE CHANGERA PAS AUTOMATIQUEMENT</t>
  </si>
  <si>
    <t>DÉPARTEMENTS</t>
  </si>
  <si>
    <t>MONTANT</t>
  </si>
  <si>
    <t>BR</t>
  </si>
  <si>
    <t>BRI - BUREAU DE LA RECHERCHE ET DE L'INNOVATION</t>
  </si>
  <si>
    <t>CLIENT EXTERNE</t>
  </si>
  <si>
    <t>DRH - DIRECTION DES RESSOURCES HUMAINES</t>
  </si>
  <si>
    <t>Client interne ou externe</t>
  </si>
  <si>
    <t>Clients</t>
  </si>
  <si>
    <t>interne</t>
  </si>
  <si>
    <t>externe</t>
  </si>
  <si>
    <r>
      <t xml:space="preserve">PRIX SALLE SANS FRAIS </t>
    </r>
    <r>
      <rPr>
        <b/>
        <sz val="10"/>
        <color rgb="FFFF0000"/>
        <rFont val="Arial"/>
        <family val="2"/>
      </rPr>
      <t>(formule)</t>
    </r>
    <r>
      <rPr>
        <b/>
        <sz val="10"/>
        <rFont val="Arial"/>
        <family val="2"/>
      </rPr>
      <t xml:space="preserve"> interne seulement</t>
    </r>
  </si>
  <si>
    <t>PARTENARIAT</t>
  </si>
  <si>
    <t>DIRECTION DES SERVICES INFORMATIONNELLES</t>
  </si>
  <si>
    <t>SFB 2627-001</t>
  </si>
  <si>
    <t>TOTAUX AU 30 SEPTEMBRE 2026</t>
  </si>
  <si>
    <t>SFB 2627-002</t>
  </si>
  <si>
    <t>SFB 2627-003</t>
  </si>
  <si>
    <t>SFB 2627-004</t>
  </si>
  <si>
    <t>SFB 2627-005</t>
  </si>
  <si>
    <t>SFB 2627-006</t>
  </si>
  <si>
    <t>SFB 2627-007</t>
  </si>
  <si>
    <t>SFB 2627-008</t>
  </si>
  <si>
    <t>SFB 2627-009</t>
  </si>
  <si>
    <t>SFB 2627-010</t>
  </si>
  <si>
    <t>SFB 2627-011</t>
  </si>
  <si>
    <t>SFB 2627-012</t>
  </si>
  <si>
    <t>SFB 2627-013</t>
  </si>
  <si>
    <t>SFB 2627-014</t>
  </si>
  <si>
    <t>SFB 2627-015</t>
  </si>
  <si>
    <t>SFB 2627-016</t>
  </si>
  <si>
    <t>SFB 2627-017</t>
  </si>
  <si>
    <t>SFB 2627-018</t>
  </si>
  <si>
    <t>SFB 2627-019</t>
  </si>
  <si>
    <t>SFB 2627-020</t>
  </si>
  <si>
    <t>SFB 2627-021</t>
  </si>
  <si>
    <t>SFB 2627-022</t>
  </si>
  <si>
    <t>SFB 2627-023</t>
  </si>
  <si>
    <t>SFB 2627-024</t>
  </si>
  <si>
    <t>SFB 2627-025</t>
  </si>
  <si>
    <t>SFB 2627-026</t>
  </si>
  <si>
    <t>SFB 2627-027</t>
  </si>
  <si>
    <t>SFB 2627-028</t>
  </si>
  <si>
    <t>SFB 2627-029</t>
  </si>
  <si>
    <t>SFB 2627-030</t>
  </si>
  <si>
    <t>SFB 2627-031</t>
  </si>
  <si>
    <t>TOTAUX AU 31 DÉCEMBRE 2026</t>
  </si>
  <si>
    <t>TOTAUX AU 31 MARS 2027</t>
  </si>
  <si>
    <t>TOTAUX AU 30 JUIN 2027</t>
  </si>
  <si>
    <t>892-9020-00-853
892-9020-01-853
892-9020-04-853
MUNICIPAL</t>
  </si>
  <si>
    <t>892-9020-00-869
892-9020-01-869
VESTIAIRE</t>
  </si>
  <si>
    <t>892-9020-00-864
BAR SFB</t>
  </si>
  <si>
    <t>892-9020-01-864
BAR POLY</t>
  </si>
  <si>
    <t>892-9020-00-870
CIE EXTERNE
(SFB, DT, HOTES)</t>
  </si>
  <si>
    <t>892-9020-01-870
CIE EXTERNE
(POLY, DT, HOTES)</t>
  </si>
  <si>
    <t>892-9020-04-870
CIE EXTERNE
(AGENT)</t>
  </si>
  <si>
    <t>892-9020-00-889 INTERNE
(SFB, HOTES)</t>
  </si>
  <si>
    <t>892-9020-01-889 INTERNE
(POLY, HOTES)</t>
  </si>
  <si>
    <t>892-9020-04-889
INTERNE
(AGENT)</t>
  </si>
  <si>
    <t>892-9020-00-851
892-9020-01-851
892-9020-04-851
 GOUV QC</t>
  </si>
  <si>
    <t>892-9020-05-870
CIE EXTERNE (PROJO
CINÉ-CLUB)</t>
  </si>
  <si>
    <t>892-9020-06-870
CIE EXTERNE (PROJO SFB)</t>
  </si>
  <si>
    <t>892-9020-07-870
CIE EXTERNE (PROJO POLY)</t>
  </si>
  <si>
    <t>892-9020-05-889
INTERNE
(PROJO
CINÉ-CLUB)</t>
  </si>
  <si>
    <t>892-9020-06-889
INTERNE
(PROJO SFB)</t>
  </si>
  <si>
    <t>892-9020-07-889
INTERNE
(PROJO POLY)</t>
  </si>
  <si>
    <t>892-9020-04-849
SCOLAIRE</t>
  </si>
  <si>
    <t>892-9020-00-849
SCOLAIRE</t>
  </si>
  <si>
    <t>892-9020-01-849
SCOLAIRE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</si>
</sst>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* #,##0.00_)\ &quot;$&quot;_ ;_ * \(#,##0.00\)\ &quot;$&quot;_ ;_ * &quot;-&quot;??_)\ &quot;$&quot;_ ;_ @_ "/>
    <numFmt numFmtId="164" formatCode="#,##0.00_ ;[Red]\-#,##0.00\ "/>
    <numFmt numFmtId="165" formatCode="#,##0.00\ _$"/>
    <numFmt numFmtId="166" formatCode="#,##0.00\ &quot;$&quot;"/>
    <numFmt numFmtId="167" formatCode="#,##0\ &quot;$&quot;"/>
    <numFmt numFmtId="168" formatCode="0.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1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6" fontId="0" fillId="0" borderId="0" xfId="0" applyNumberFormat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14" fontId="3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165" fontId="1" fillId="0" borderId="1" xfId="1" applyNumberFormat="1" applyFont="1" applyFill="1" applyBorder="1" applyAlignment="1">
      <alignment horizontal="right" vertical="center"/>
    </xf>
    <xf numFmtId="165" fontId="2" fillId="0" borderId="1" xfId="1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1" fillId="0" borderId="1" xfId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166" fontId="2" fillId="4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166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/>
    <xf numFmtId="167" fontId="0" fillId="0" borderId="1" xfId="0" applyNumberFormat="1" applyBorder="1"/>
    <xf numFmtId="14" fontId="2" fillId="2" borderId="1" xfId="0" applyNumberFormat="1" applyFont="1" applyFill="1" applyBorder="1"/>
    <xf numFmtId="0" fontId="2" fillId="2" borderId="1" xfId="0" applyFont="1" applyFill="1" applyBorder="1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left"/>
    </xf>
    <xf numFmtId="165" fontId="2" fillId="2" borderId="1" xfId="1" applyNumberFormat="1" applyFont="1" applyFill="1" applyBorder="1" applyAlignment="1">
      <alignment horizontal="right" vertical="center"/>
    </xf>
    <xf numFmtId="0" fontId="2" fillId="2" borderId="0" xfId="0" applyFont="1" applyFill="1"/>
    <xf numFmtId="166" fontId="2" fillId="2" borderId="1" xfId="0" applyNumberFormat="1" applyFont="1" applyFill="1" applyBorder="1" applyAlignment="1">
      <alignment horizontal="center" vertical="center" wrapText="1"/>
    </xf>
    <xf numFmtId="168" fontId="2" fillId="3" borderId="1" xfId="0" applyNumberFormat="1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/>
    </xf>
    <xf numFmtId="168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168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6" fontId="2" fillId="5" borderId="1" xfId="0" applyNumberFormat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</cellXfs>
  <cellStyles count="3">
    <cellStyle name="Monétaire" xfId="1" builtinId="4"/>
    <cellStyle name="Monétaire 2" xfId="2" xr:uid="{E89E5281-DC3E-4126-8238-8EDC86E701B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E3A0-C84D-4ED9-BFA7-814C4CA0794A}">
  <sheetPr>
    <pageSetUpPr fitToPage="1"/>
  </sheetPr>
  <dimension ref="A1:AH489"/>
  <sheetViews>
    <sheetView tabSelected="1" view="pageBreakPreview" zoomScale="130" zoomScaleNormal="55" zoomScaleSheetLayoutView="130" workbookViewId="0">
      <pane ySplit="1" topLeftCell="A2" activePane="bottomLeft" state="frozen"/>
      <selection activeCell="B1" sqref="B1"/>
      <selection pane="bottomLeft" activeCell="B2" sqref="B2"/>
    </sheetView>
  </sheetViews>
  <sheetFormatPr baseColWidth="10" defaultRowHeight="12" customHeight="1" x14ac:dyDescent="0.2"/>
  <cols>
    <col min="1" max="1" width="17" customWidth="1"/>
    <col min="2" max="2" width="32.42578125" customWidth="1"/>
    <col min="3" max="3" width="47.7109375" customWidth="1"/>
    <col min="4" max="4" width="12.7109375" style="17" bestFit="1" customWidth="1"/>
    <col min="5" max="5" width="10.28515625" style="17" bestFit="1" customWidth="1"/>
    <col min="6" max="7" width="10.28515625" style="17" customWidth="1"/>
    <col min="8" max="8" width="14.7109375" style="17" customWidth="1"/>
    <col min="9" max="9" width="16.85546875" style="17" bestFit="1" customWidth="1"/>
    <col min="10" max="10" width="10" style="54" customWidth="1"/>
    <col min="11" max="11" width="26.5703125" style="20" customWidth="1"/>
    <col min="12" max="12" width="15.85546875" style="27" customWidth="1"/>
    <col min="13" max="13" width="26.7109375" style="18" customWidth="1"/>
    <col min="14" max="16" width="16.42578125" style="27" customWidth="1"/>
    <col min="17" max="17" width="16.7109375" style="27" customWidth="1"/>
    <col min="18" max="18" width="15.7109375" style="27" customWidth="1"/>
    <col min="19" max="19" width="15.5703125" style="27" customWidth="1"/>
    <col min="20" max="20" width="15.7109375" style="27" customWidth="1"/>
    <col min="21" max="21" width="16.5703125" style="27" customWidth="1"/>
    <col min="22" max="22" width="20" style="27" customWidth="1"/>
    <col min="23" max="23" width="19.140625" style="27" customWidth="1"/>
    <col min="24" max="24" width="16.42578125" style="27" customWidth="1"/>
    <col min="25" max="25" width="17.85546875" style="27" customWidth="1"/>
    <col min="26" max="27" width="16.42578125" style="27" customWidth="1"/>
    <col min="28" max="28" width="17.42578125" style="27" customWidth="1"/>
    <col min="29" max="30" width="15.28515625" style="27" customWidth="1"/>
    <col min="31" max="31" width="18" style="27" customWidth="1"/>
    <col min="32" max="32" width="17" style="27" customWidth="1"/>
    <col min="33" max="33" width="17.140625" style="27" customWidth="1"/>
    <col min="34" max="34" width="15.85546875" style="30" customWidth="1"/>
  </cols>
  <sheetData>
    <row r="1" spans="1:34" s="6" customFormat="1" ht="51.75" customHeight="1" x14ac:dyDescent="0.2">
      <c r="A1" s="19" t="s">
        <v>0</v>
      </c>
      <c r="B1" s="19" t="s">
        <v>11</v>
      </c>
      <c r="C1" s="19" t="s">
        <v>10</v>
      </c>
      <c r="D1" s="19" t="s">
        <v>22</v>
      </c>
      <c r="E1" s="19" t="s">
        <v>23</v>
      </c>
      <c r="F1" s="21" t="s">
        <v>31</v>
      </c>
      <c r="G1" s="21" t="s">
        <v>50</v>
      </c>
      <c r="H1" s="19" t="s">
        <v>9</v>
      </c>
      <c r="I1" s="19" t="s">
        <v>42</v>
      </c>
      <c r="J1" s="49" t="s">
        <v>12</v>
      </c>
      <c r="K1" s="19" t="s">
        <v>41</v>
      </c>
      <c r="L1" s="32" t="s">
        <v>54</v>
      </c>
      <c r="M1" s="19" t="s">
        <v>13</v>
      </c>
      <c r="N1" s="48" t="s">
        <v>110</v>
      </c>
      <c r="O1" s="48" t="s">
        <v>111</v>
      </c>
      <c r="P1" s="48" t="s">
        <v>109</v>
      </c>
      <c r="Q1" s="48" t="s">
        <v>102</v>
      </c>
      <c r="R1" s="48" t="s">
        <v>92</v>
      </c>
      <c r="S1" s="48" t="s">
        <v>94</v>
      </c>
      <c r="T1" s="48" t="s">
        <v>95</v>
      </c>
      <c r="U1" s="48" t="s">
        <v>93</v>
      </c>
      <c r="V1" s="48" t="s">
        <v>96</v>
      </c>
      <c r="W1" s="48" t="s">
        <v>97</v>
      </c>
      <c r="X1" s="48" t="s">
        <v>98</v>
      </c>
      <c r="Y1" s="48" t="s">
        <v>103</v>
      </c>
      <c r="Z1" s="63" t="s">
        <v>104</v>
      </c>
      <c r="AA1" s="63" t="s">
        <v>105</v>
      </c>
      <c r="AB1" s="62" t="s">
        <v>99</v>
      </c>
      <c r="AC1" s="62" t="s">
        <v>100</v>
      </c>
      <c r="AD1" s="62" t="s">
        <v>101</v>
      </c>
      <c r="AE1" s="62" t="s">
        <v>106</v>
      </c>
      <c r="AF1" s="64" t="s">
        <v>107</v>
      </c>
      <c r="AG1" s="64" t="s">
        <v>108</v>
      </c>
      <c r="AH1" s="48" t="s">
        <v>16</v>
      </c>
    </row>
    <row r="2" spans="1:34" s="13" customFormat="1" ht="12" customHeight="1" x14ac:dyDescent="0.2">
      <c r="A2" s="2" t="s">
        <v>57</v>
      </c>
      <c r="B2" s="3"/>
      <c r="C2" s="3"/>
      <c r="D2" s="11"/>
      <c r="E2" s="11"/>
      <c r="F2" s="4">
        <v>1</v>
      </c>
      <c r="G2" s="4"/>
      <c r="H2" s="11"/>
      <c r="I2" s="10"/>
      <c r="J2" s="51"/>
      <c r="K2" s="36"/>
      <c r="L2" s="25">
        <v>0</v>
      </c>
      <c r="M2" s="12"/>
      <c r="N2" s="22"/>
      <c r="O2" s="22"/>
      <c r="P2" s="22"/>
      <c r="Q2" s="22"/>
      <c r="R2" s="22"/>
      <c r="S2" s="22"/>
      <c r="T2" s="22"/>
      <c r="U2" s="22"/>
      <c r="V2" s="22"/>
      <c r="W2" s="22"/>
      <c r="X2" s="22" t="s">
        <v>1</v>
      </c>
      <c r="Y2" s="22" t="s">
        <v>1</v>
      </c>
      <c r="Z2" s="22"/>
      <c r="AA2" s="22"/>
      <c r="AB2" s="22"/>
      <c r="AC2" s="22" t="s">
        <v>1</v>
      </c>
      <c r="AD2" s="22" t="s">
        <v>1</v>
      </c>
      <c r="AE2" s="22" t="s">
        <v>1</v>
      </c>
      <c r="AF2" s="22" t="s">
        <v>1</v>
      </c>
      <c r="AG2" s="22" t="s">
        <v>1</v>
      </c>
      <c r="AH2" s="23">
        <f t="shared" ref="AH2:AH32" si="0">SUM(Q2:AG2)</f>
        <v>0</v>
      </c>
    </row>
    <row r="3" spans="1:34" s="14" customFormat="1" ht="12" customHeight="1" x14ac:dyDescent="0.2">
      <c r="A3" s="2" t="s">
        <v>59</v>
      </c>
      <c r="B3" s="3"/>
      <c r="C3" s="3"/>
      <c r="D3" s="11"/>
      <c r="E3" s="11"/>
      <c r="F3" s="9">
        <f t="shared" ref="F3:F61" si="1">E3-D3+1</f>
        <v>1</v>
      </c>
      <c r="G3" s="9"/>
      <c r="H3" s="11"/>
      <c r="I3" s="10"/>
      <c r="J3" s="51"/>
      <c r="K3" s="36"/>
      <c r="L3" s="25"/>
      <c r="M3" s="12"/>
      <c r="N3" s="22"/>
      <c r="O3" s="22"/>
      <c r="P3" s="22"/>
      <c r="Q3" s="22"/>
      <c r="R3" s="22"/>
      <c r="S3" s="22" t="s">
        <v>1</v>
      </c>
      <c r="T3" s="22" t="s">
        <v>1</v>
      </c>
      <c r="U3" s="22"/>
      <c r="V3" s="22"/>
      <c r="W3" s="22"/>
      <c r="X3" s="22"/>
      <c r="Y3" s="22"/>
      <c r="Z3" s="22"/>
      <c r="AA3" s="22"/>
      <c r="AB3" s="22"/>
      <c r="AC3" s="22" t="s">
        <v>1</v>
      </c>
      <c r="AD3" s="22" t="s">
        <v>1</v>
      </c>
      <c r="AE3" s="22" t="s">
        <v>1</v>
      </c>
      <c r="AF3" s="22" t="s">
        <v>1</v>
      </c>
      <c r="AG3" s="22" t="s">
        <v>1</v>
      </c>
      <c r="AH3" s="23">
        <f t="shared" si="0"/>
        <v>0</v>
      </c>
    </row>
    <row r="4" spans="1:34" s="14" customFormat="1" ht="12" customHeight="1" x14ac:dyDescent="0.2">
      <c r="A4" s="2" t="s">
        <v>60</v>
      </c>
      <c r="B4" s="3"/>
      <c r="C4" s="3"/>
      <c r="D4" s="11"/>
      <c r="E4" s="11"/>
      <c r="F4" s="9">
        <f t="shared" si="1"/>
        <v>1</v>
      </c>
      <c r="G4" s="9"/>
      <c r="H4" s="11"/>
      <c r="I4" s="10"/>
      <c r="J4" s="51"/>
      <c r="K4" s="36"/>
      <c r="L4" s="25"/>
      <c r="M4" s="1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3">
        <f t="shared" si="0"/>
        <v>0</v>
      </c>
    </row>
    <row r="5" spans="1:34" s="14" customFormat="1" ht="12" customHeight="1" x14ac:dyDescent="0.2">
      <c r="A5" s="2" t="s">
        <v>61</v>
      </c>
      <c r="B5" s="3"/>
      <c r="C5" s="3"/>
      <c r="D5" s="11"/>
      <c r="E5" s="11"/>
      <c r="F5" s="9">
        <f t="shared" si="1"/>
        <v>1</v>
      </c>
      <c r="G5" s="9"/>
      <c r="H5" s="11"/>
      <c r="I5" s="10"/>
      <c r="J5" s="51"/>
      <c r="K5" s="36"/>
      <c r="L5" s="25"/>
      <c r="M5" s="1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3">
        <f t="shared" si="0"/>
        <v>0</v>
      </c>
    </row>
    <row r="6" spans="1:34" ht="12" customHeight="1" x14ac:dyDescent="0.2">
      <c r="A6" s="2" t="s">
        <v>62</v>
      </c>
      <c r="B6" s="15"/>
      <c r="C6" s="15"/>
      <c r="D6" s="8"/>
      <c r="E6" s="8"/>
      <c r="F6" s="9">
        <f t="shared" si="1"/>
        <v>1</v>
      </c>
      <c r="G6" s="9"/>
      <c r="H6" s="8"/>
      <c r="I6" s="10"/>
      <c r="J6" s="52"/>
      <c r="K6" s="3"/>
      <c r="L6" s="25"/>
      <c r="M6" s="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3">
        <f t="shared" si="0"/>
        <v>0</v>
      </c>
    </row>
    <row r="7" spans="1:34" ht="12" customHeight="1" x14ac:dyDescent="0.2">
      <c r="A7" s="2" t="s">
        <v>63</v>
      </c>
      <c r="B7" s="15"/>
      <c r="C7" s="15"/>
      <c r="D7" s="8"/>
      <c r="E7" s="8"/>
      <c r="F7" s="9">
        <f t="shared" si="1"/>
        <v>1</v>
      </c>
      <c r="G7" s="9"/>
      <c r="H7" s="8"/>
      <c r="I7" s="10"/>
      <c r="J7" s="52"/>
      <c r="K7" s="3"/>
      <c r="L7" s="25"/>
      <c r="M7" s="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3">
        <f t="shared" si="0"/>
        <v>0</v>
      </c>
    </row>
    <row r="8" spans="1:34" ht="12" customHeight="1" x14ac:dyDescent="0.2">
      <c r="A8" s="2" t="s">
        <v>64</v>
      </c>
      <c r="B8" s="15"/>
      <c r="C8" s="15"/>
      <c r="D8" s="8"/>
      <c r="E8" s="8"/>
      <c r="F8" s="9">
        <f t="shared" si="1"/>
        <v>1</v>
      </c>
      <c r="G8" s="9"/>
      <c r="H8" s="8"/>
      <c r="I8" s="10"/>
      <c r="J8" s="52"/>
      <c r="K8" s="3"/>
      <c r="L8" s="25"/>
      <c r="M8" s="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3">
        <f t="shared" si="0"/>
        <v>0</v>
      </c>
    </row>
    <row r="9" spans="1:34" ht="12" customHeight="1" x14ac:dyDescent="0.2">
      <c r="A9" s="2" t="s">
        <v>65</v>
      </c>
      <c r="B9" s="15"/>
      <c r="C9" s="15"/>
      <c r="D9" s="8"/>
      <c r="E9" s="8"/>
      <c r="F9" s="9">
        <f t="shared" si="1"/>
        <v>1</v>
      </c>
      <c r="G9" s="9"/>
      <c r="H9" s="8"/>
      <c r="I9" s="10"/>
      <c r="J9" s="52"/>
      <c r="K9" s="36"/>
      <c r="L9" s="25"/>
      <c r="M9" s="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3">
        <f t="shared" si="0"/>
        <v>0</v>
      </c>
    </row>
    <row r="10" spans="1:34" s="14" customFormat="1" ht="12" customHeight="1" x14ac:dyDescent="0.2">
      <c r="A10" s="2" t="s">
        <v>66</v>
      </c>
      <c r="B10" s="3"/>
      <c r="C10" s="3"/>
      <c r="D10" s="11"/>
      <c r="E10" s="11"/>
      <c r="F10" s="9">
        <f t="shared" si="1"/>
        <v>1</v>
      </c>
      <c r="G10" s="9"/>
      <c r="H10" s="11"/>
      <c r="I10" s="10"/>
      <c r="J10" s="51"/>
      <c r="K10" s="36"/>
      <c r="L10" s="25"/>
      <c r="M10" s="1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>
        <f t="shared" si="0"/>
        <v>0</v>
      </c>
    </row>
    <row r="11" spans="1:34" s="14" customFormat="1" ht="12" customHeight="1" x14ac:dyDescent="0.2">
      <c r="A11" s="2" t="s">
        <v>67</v>
      </c>
      <c r="B11" s="15"/>
      <c r="C11" s="15"/>
      <c r="D11" s="8"/>
      <c r="E11" s="8"/>
      <c r="F11" s="9">
        <f t="shared" si="1"/>
        <v>1</v>
      </c>
      <c r="G11" s="9"/>
      <c r="H11" s="11"/>
      <c r="I11" s="10"/>
      <c r="J11" s="51"/>
      <c r="K11" s="36"/>
      <c r="L11" s="25"/>
      <c r="M11" s="1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3">
        <f t="shared" si="0"/>
        <v>0</v>
      </c>
    </row>
    <row r="12" spans="1:34" s="14" customFormat="1" ht="12" customHeight="1" x14ac:dyDescent="0.2">
      <c r="A12" s="2" t="s">
        <v>68</v>
      </c>
      <c r="B12" s="15"/>
      <c r="C12" s="15"/>
      <c r="D12" s="8"/>
      <c r="E12" s="8"/>
      <c r="F12" s="9">
        <f t="shared" si="1"/>
        <v>1</v>
      </c>
      <c r="G12" s="9"/>
      <c r="H12" s="11"/>
      <c r="I12" s="10"/>
      <c r="J12" s="51"/>
      <c r="K12" s="3"/>
      <c r="L12" s="25"/>
      <c r="M12" s="1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3">
        <f t="shared" si="0"/>
        <v>0</v>
      </c>
    </row>
    <row r="13" spans="1:34" s="14" customFormat="1" ht="12" customHeight="1" x14ac:dyDescent="0.2">
      <c r="A13" s="2" t="s">
        <v>69</v>
      </c>
      <c r="B13" s="3"/>
      <c r="C13" s="3"/>
      <c r="D13" s="11"/>
      <c r="E13" s="11"/>
      <c r="F13" s="9">
        <f t="shared" si="1"/>
        <v>1</v>
      </c>
      <c r="G13" s="9"/>
      <c r="H13" s="11"/>
      <c r="I13" s="10"/>
      <c r="J13" s="51"/>
      <c r="K13" s="36"/>
      <c r="L13" s="25"/>
      <c r="M13" s="1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3">
        <f t="shared" si="0"/>
        <v>0</v>
      </c>
    </row>
    <row r="14" spans="1:34" s="14" customFormat="1" ht="12" customHeight="1" x14ac:dyDescent="0.2">
      <c r="A14" s="2" t="s">
        <v>70</v>
      </c>
      <c r="B14" s="3"/>
      <c r="C14" s="3"/>
      <c r="D14" s="11"/>
      <c r="E14" s="11"/>
      <c r="F14" s="9">
        <f t="shared" si="1"/>
        <v>1</v>
      </c>
      <c r="G14" s="9"/>
      <c r="H14" s="11"/>
      <c r="I14" s="10"/>
      <c r="J14" s="51"/>
      <c r="K14" s="36"/>
      <c r="L14" s="25"/>
      <c r="M14" s="1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3">
        <f t="shared" si="0"/>
        <v>0</v>
      </c>
    </row>
    <row r="15" spans="1:34" s="14" customFormat="1" ht="12" customHeight="1" x14ac:dyDescent="0.2">
      <c r="A15" s="2" t="s">
        <v>71</v>
      </c>
      <c r="B15" s="15"/>
      <c r="C15" s="15"/>
      <c r="D15" s="8"/>
      <c r="E15" s="8"/>
      <c r="F15" s="9">
        <f t="shared" si="1"/>
        <v>1</v>
      </c>
      <c r="G15" s="9"/>
      <c r="H15" s="11"/>
      <c r="I15" s="10"/>
      <c r="J15" s="51"/>
      <c r="K15" s="36"/>
      <c r="L15" s="25"/>
      <c r="M15" s="1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3">
        <f t="shared" si="0"/>
        <v>0</v>
      </c>
    </row>
    <row r="16" spans="1:34" s="14" customFormat="1" ht="12" customHeight="1" x14ac:dyDescent="0.2">
      <c r="A16" s="2" t="s">
        <v>72</v>
      </c>
      <c r="B16" s="15"/>
      <c r="C16" s="15"/>
      <c r="D16" s="8"/>
      <c r="E16" s="8"/>
      <c r="F16" s="9">
        <f t="shared" si="1"/>
        <v>1</v>
      </c>
      <c r="G16" s="9"/>
      <c r="H16" s="11"/>
      <c r="I16" s="10"/>
      <c r="J16" s="51"/>
      <c r="K16" s="3"/>
      <c r="L16" s="25"/>
      <c r="M16" s="1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3">
        <f t="shared" si="0"/>
        <v>0</v>
      </c>
    </row>
    <row r="17" spans="1:34" s="14" customFormat="1" ht="12" customHeight="1" x14ac:dyDescent="0.2">
      <c r="A17" s="2" t="s">
        <v>73</v>
      </c>
      <c r="B17" s="15"/>
      <c r="C17" s="15"/>
      <c r="D17" s="8"/>
      <c r="E17" s="8"/>
      <c r="F17" s="9">
        <f t="shared" si="1"/>
        <v>1</v>
      </c>
      <c r="G17" s="9"/>
      <c r="H17" s="11"/>
      <c r="I17" s="10"/>
      <c r="J17" s="51"/>
      <c r="K17" s="3"/>
      <c r="L17" s="25"/>
      <c r="M17" s="1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3">
        <f t="shared" si="0"/>
        <v>0</v>
      </c>
    </row>
    <row r="18" spans="1:34" s="14" customFormat="1" ht="12" customHeight="1" x14ac:dyDescent="0.2">
      <c r="A18" s="2" t="s">
        <v>74</v>
      </c>
      <c r="B18" s="15"/>
      <c r="C18" s="15"/>
      <c r="D18" s="8"/>
      <c r="E18" s="8"/>
      <c r="F18" s="9">
        <f t="shared" si="1"/>
        <v>1</v>
      </c>
      <c r="G18" s="9"/>
      <c r="H18" s="11"/>
      <c r="I18" s="10"/>
      <c r="J18" s="51"/>
      <c r="K18" s="36"/>
      <c r="L18" s="25"/>
      <c r="M18" s="1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3">
        <f t="shared" si="0"/>
        <v>0</v>
      </c>
    </row>
    <row r="19" spans="1:34" s="14" customFormat="1" ht="12" customHeight="1" x14ac:dyDescent="0.2">
      <c r="A19" s="2" t="s">
        <v>75</v>
      </c>
      <c r="B19" s="15"/>
      <c r="C19" s="15"/>
      <c r="D19" s="8"/>
      <c r="E19" s="8"/>
      <c r="F19" s="9">
        <f t="shared" si="1"/>
        <v>1</v>
      </c>
      <c r="G19" s="9"/>
      <c r="H19" s="11"/>
      <c r="I19" s="10"/>
      <c r="J19" s="51"/>
      <c r="K19" s="3"/>
      <c r="L19" s="25"/>
      <c r="M19" s="1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3">
        <f t="shared" si="0"/>
        <v>0</v>
      </c>
    </row>
    <row r="20" spans="1:34" s="14" customFormat="1" ht="12" customHeight="1" x14ac:dyDescent="0.2">
      <c r="A20" s="2" t="s">
        <v>76</v>
      </c>
      <c r="B20" s="3"/>
      <c r="C20" s="3"/>
      <c r="D20" s="11"/>
      <c r="E20" s="11"/>
      <c r="F20" s="9">
        <f t="shared" si="1"/>
        <v>1</v>
      </c>
      <c r="G20" s="9"/>
      <c r="H20" s="11"/>
      <c r="I20" s="10"/>
      <c r="J20" s="51"/>
      <c r="K20" s="36"/>
      <c r="L20" s="25"/>
      <c r="M20" s="1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3">
        <f t="shared" si="0"/>
        <v>0</v>
      </c>
    </row>
    <row r="21" spans="1:34" ht="12" customHeight="1" x14ac:dyDescent="0.2">
      <c r="A21" s="2" t="s">
        <v>77</v>
      </c>
      <c r="B21" s="15"/>
      <c r="C21" s="15"/>
      <c r="D21" s="8"/>
      <c r="E21" s="8"/>
      <c r="F21" s="9">
        <f t="shared" si="1"/>
        <v>1</v>
      </c>
      <c r="G21" s="9"/>
      <c r="H21" s="8"/>
      <c r="I21" s="10"/>
      <c r="J21" s="52"/>
      <c r="K21" s="3"/>
      <c r="L21" s="25"/>
      <c r="M21" s="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3">
        <f t="shared" si="0"/>
        <v>0</v>
      </c>
    </row>
    <row r="22" spans="1:34" ht="12" customHeight="1" x14ac:dyDescent="0.2">
      <c r="A22" s="2" t="s">
        <v>78</v>
      </c>
      <c r="B22" s="15"/>
      <c r="C22" s="15"/>
      <c r="D22" s="8"/>
      <c r="E22" s="8"/>
      <c r="F22" s="9">
        <f t="shared" si="1"/>
        <v>1</v>
      </c>
      <c r="G22" s="9"/>
      <c r="H22" s="8"/>
      <c r="I22" s="10"/>
      <c r="J22" s="52"/>
      <c r="K22" s="36"/>
      <c r="L22" s="25"/>
      <c r="M22" s="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3">
        <f t="shared" si="0"/>
        <v>0</v>
      </c>
    </row>
    <row r="23" spans="1:34" ht="12" customHeight="1" x14ac:dyDescent="0.2">
      <c r="A23" s="2" t="s">
        <v>79</v>
      </c>
      <c r="B23" s="15"/>
      <c r="C23" s="15"/>
      <c r="D23" s="8"/>
      <c r="E23" s="8"/>
      <c r="F23" s="9">
        <f t="shared" si="1"/>
        <v>1</v>
      </c>
      <c r="G23" s="9"/>
      <c r="H23" s="8"/>
      <c r="I23" s="10"/>
      <c r="J23" s="52"/>
      <c r="K23" s="3"/>
      <c r="L23" s="25"/>
      <c r="M23" s="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3">
        <f t="shared" si="0"/>
        <v>0</v>
      </c>
    </row>
    <row r="24" spans="1:34" ht="12" customHeight="1" x14ac:dyDescent="0.2">
      <c r="A24" s="2" t="s">
        <v>80</v>
      </c>
      <c r="B24" s="15"/>
      <c r="C24" s="15"/>
      <c r="D24" s="8"/>
      <c r="E24" s="8"/>
      <c r="F24" s="9">
        <f t="shared" si="1"/>
        <v>1</v>
      </c>
      <c r="G24" s="9"/>
      <c r="H24" s="8"/>
      <c r="I24" s="10"/>
      <c r="J24" s="52"/>
      <c r="K24" s="3"/>
      <c r="L24" s="25"/>
      <c r="M24" s="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3">
        <f t="shared" si="0"/>
        <v>0</v>
      </c>
    </row>
    <row r="25" spans="1:34" ht="12" customHeight="1" x14ac:dyDescent="0.2">
      <c r="A25" s="2" t="s">
        <v>81</v>
      </c>
      <c r="B25" s="15"/>
      <c r="C25" s="15"/>
      <c r="D25" s="8"/>
      <c r="E25" s="8"/>
      <c r="F25" s="9">
        <f t="shared" si="1"/>
        <v>1</v>
      </c>
      <c r="G25" s="9"/>
      <c r="H25" s="8"/>
      <c r="I25" s="10"/>
      <c r="J25" s="52"/>
      <c r="K25" s="36"/>
      <c r="L25" s="25"/>
      <c r="M25" s="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3">
        <f t="shared" si="0"/>
        <v>0</v>
      </c>
    </row>
    <row r="26" spans="1:34" ht="12" customHeight="1" x14ac:dyDescent="0.2">
      <c r="A26" s="2" t="s">
        <v>82</v>
      </c>
      <c r="B26" s="15"/>
      <c r="C26" s="15"/>
      <c r="D26" s="8"/>
      <c r="E26" s="8"/>
      <c r="F26" s="9">
        <f t="shared" si="1"/>
        <v>1</v>
      </c>
      <c r="G26" s="9"/>
      <c r="H26" s="8"/>
      <c r="I26" s="10"/>
      <c r="J26" s="52"/>
      <c r="K26" s="3"/>
      <c r="L26" s="25"/>
      <c r="M26" s="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3">
        <f t="shared" si="0"/>
        <v>0</v>
      </c>
    </row>
    <row r="27" spans="1:34" s="14" customFormat="1" ht="12" customHeight="1" x14ac:dyDescent="0.2">
      <c r="A27" s="2" t="s">
        <v>83</v>
      </c>
      <c r="B27" s="3"/>
      <c r="C27" s="3"/>
      <c r="D27" s="11"/>
      <c r="E27" s="11"/>
      <c r="F27" s="9">
        <f t="shared" si="1"/>
        <v>1</v>
      </c>
      <c r="G27" s="9"/>
      <c r="H27" s="11"/>
      <c r="I27" s="10"/>
      <c r="J27" s="51"/>
      <c r="K27" s="36"/>
      <c r="L27" s="25"/>
      <c r="M27" s="1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3">
        <f t="shared" si="0"/>
        <v>0</v>
      </c>
    </row>
    <row r="28" spans="1:34" s="14" customFormat="1" ht="12" customHeight="1" x14ac:dyDescent="0.2">
      <c r="A28" s="2" t="s">
        <v>84</v>
      </c>
      <c r="B28" s="3"/>
      <c r="C28" s="3"/>
      <c r="D28" s="11"/>
      <c r="E28" s="11"/>
      <c r="F28" s="9">
        <f t="shared" si="1"/>
        <v>1</v>
      </c>
      <c r="G28" s="9"/>
      <c r="H28" s="11"/>
      <c r="I28" s="10"/>
      <c r="J28" s="51"/>
      <c r="K28" s="36"/>
      <c r="L28" s="25"/>
      <c r="M28" s="1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3">
        <f t="shared" si="0"/>
        <v>0</v>
      </c>
    </row>
    <row r="29" spans="1:34" s="14" customFormat="1" ht="12" customHeight="1" x14ac:dyDescent="0.2">
      <c r="A29" s="2" t="s">
        <v>85</v>
      </c>
      <c r="B29" s="3"/>
      <c r="C29" s="3"/>
      <c r="D29" s="11"/>
      <c r="E29" s="11"/>
      <c r="F29" s="9">
        <f t="shared" si="1"/>
        <v>1</v>
      </c>
      <c r="G29" s="9"/>
      <c r="H29" s="11"/>
      <c r="I29" s="10"/>
      <c r="J29" s="51"/>
      <c r="K29" s="36"/>
      <c r="L29" s="25"/>
      <c r="M29" s="1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3">
        <f t="shared" si="0"/>
        <v>0</v>
      </c>
    </row>
    <row r="30" spans="1:34" s="14" customFormat="1" ht="12" customHeight="1" x14ac:dyDescent="0.2">
      <c r="A30" s="2" t="s">
        <v>86</v>
      </c>
      <c r="B30" s="3"/>
      <c r="C30" s="3"/>
      <c r="D30" s="11"/>
      <c r="E30" s="11"/>
      <c r="F30" s="9">
        <f t="shared" si="1"/>
        <v>1</v>
      </c>
      <c r="G30" s="9"/>
      <c r="H30" s="11"/>
      <c r="I30" s="10"/>
      <c r="J30" s="51"/>
      <c r="K30" s="36"/>
      <c r="L30" s="25"/>
      <c r="M30" s="1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>
        <f t="shared" si="0"/>
        <v>0</v>
      </c>
    </row>
    <row r="31" spans="1:34" s="14" customFormat="1" ht="12" customHeight="1" x14ac:dyDescent="0.2">
      <c r="A31" s="2" t="s">
        <v>87</v>
      </c>
      <c r="B31" s="3"/>
      <c r="C31" s="3"/>
      <c r="D31" s="11"/>
      <c r="E31" s="11"/>
      <c r="F31" s="9">
        <f t="shared" si="1"/>
        <v>1</v>
      </c>
      <c r="G31" s="9"/>
      <c r="H31" s="11"/>
      <c r="I31" s="10"/>
      <c r="J31" s="51"/>
      <c r="K31" s="36"/>
      <c r="L31" s="25"/>
      <c r="M31" s="1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3">
        <f t="shared" si="0"/>
        <v>0</v>
      </c>
    </row>
    <row r="32" spans="1:34" s="14" customFormat="1" ht="12" customHeight="1" x14ac:dyDescent="0.2">
      <c r="A32" s="2" t="s">
        <v>88</v>
      </c>
      <c r="B32" s="15"/>
      <c r="C32" s="3"/>
      <c r="D32" s="11"/>
      <c r="E32" s="11"/>
      <c r="F32" s="9">
        <f t="shared" si="1"/>
        <v>1</v>
      </c>
      <c r="G32" s="9"/>
      <c r="H32" s="11"/>
      <c r="I32" s="10"/>
      <c r="J32" s="51"/>
      <c r="K32" s="36"/>
      <c r="L32" s="25"/>
      <c r="M32" s="1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3">
        <f t="shared" si="0"/>
        <v>0</v>
      </c>
    </row>
    <row r="33" spans="1:34" s="47" customFormat="1" ht="12" customHeight="1" x14ac:dyDescent="0.2">
      <c r="A33" s="40"/>
      <c r="B33" s="40"/>
      <c r="C33" s="41" t="s">
        <v>58</v>
      </c>
      <c r="D33" s="44"/>
      <c r="E33" s="42"/>
      <c r="F33" s="42"/>
      <c r="G33" s="44"/>
      <c r="H33" s="42"/>
      <c r="I33" s="44"/>
      <c r="J33" s="53"/>
      <c r="K33" s="45"/>
      <c r="L33" s="61"/>
      <c r="M33" s="43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 ht="12" customHeight="1" x14ac:dyDescent="0.2">
      <c r="A34" s="2"/>
      <c r="B34" s="3"/>
      <c r="C34" s="3"/>
      <c r="D34" s="11"/>
      <c r="E34" s="11"/>
      <c r="F34" s="9">
        <f t="shared" si="1"/>
        <v>1</v>
      </c>
      <c r="G34" s="9"/>
      <c r="H34" s="11"/>
      <c r="I34" s="4"/>
      <c r="J34" s="52"/>
      <c r="K34" s="36"/>
      <c r="L34" s="25"/>
      <c r="M34" s="5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3"/>
    </row>
    <row r="35" spans="1:34" ht="12" customHeight="1" x14ac:dyDescent="0.2">
      <c r="A35" s="2"/>
      <c r="B35" s="3"/>
      <c r="C35" s="3"/>
      <c r="D35" s="11"/>
      <c r="E35" s="11"/>
      <c r="F35" s="9">
        <f t="shared" si="1"/>
        <v>1</v>
      </c>
      <c r="G35" s="9"/>
      <c r="H35" s="11"/>
      <c r="I35" s="4"/>
      <c r="J35" s="52"/>
      <c r="K35" s="36"/>
      <c r="L35" s="25"/>
      <c r="M35" s="5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3"/>
    </row>
    <row r="36" spans="1:34" ht="12" customHeight="1" x14ac:dyDescent="0.2">
      <c r="A36" s="2"/>
      <c r="B36" s="3"/>
      <c r="C36" s="3"/>
      <c r="D36" s="11"/>
      <c r="E36" s="11"/>
      <c r="F36" s="9">
        <f t="shared" si="1"/>
        <v>1</v>
      </c>
      <c r="G36" s="9"/>
      <c r="H36" s="11"/>
      <c r="I36" s="4"/>
      <c r="J36" s="52"/>
      <c r="K36" s="36"/>
      <c r="L36" s="25"/>
      <c r="M36" s="5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3"/>
    </row>
    <row r="37" spans="1:34" ht="12" customHeight="1" x14ac:dyDescent="0.2">
      <c r="A37" s="2"/>
      <c r="B37" s="3"/>
      <c r="C37" s="3"/>
      <c r="D37" s="11"/>
      <c r="E37" s="11"/>
      <c r="F37" s="9">
        <f t="shared" si="1"/>
        <v>1</v>
      </c>
      <c r="G37" s="9"/>
      <c r="H37" s="11"/>
      <c r="I37" s="4"/>
      <c r="J37" s="52"/>
      <c r="K37" s="36"/>
      <c r="L37" s="25"/>
      <c r="M37" s="5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3"/>
    </row>
    <row r="38" spans="1:34" ht="12" customHeight="1" x14ac:dyDescent="0.2">
      <c r="A38" s="2"/>
      <c r="B38" s="3"/>
      <c r="C38" s="3"/>
      <c r="D38" s="11"/>
      <c r="E38" s="11"/>
      <c r="F38" s="9">
        <f t="shared" si="1"/>
        <v>1</v>
      </c>
      <c r="G38" s="9"/>
      <c r="H38" s="11"/>
      <c r="I38" s="4"/>
      <c r="J38" s="52"/>
      <c r="K38" s="36"/>
      <c r="L38" s="25"/>
      <c r="M38" s="5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3"/>
    </row>
    <row r="39" spans="1:34" ht="12" customHeight="1" x14ac:dyDescent="0.2">
      <c r="A39" s="2"/>
      <c r="B39" s="3"/>
      <c r="C39" s="3"/>
      <c r="D39" s="11"/>
      <c r="E39" s="11"/>
      <c r="F39" s="9">
        <f t="shared" si="1"/>
        <v>1</v>
      </c>
      <c r="G39" s="9"/>
      <c r="H39" s="11"/>
      <c r="I39" s="4"/>
      <c r="J39" s="52"/>
      <c r="K39" s="36"/>
      <c r="L39" s="25"/>
      <c r="M39" s="5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3"/>
    </row>
    <row r="40" spans="1:34" ht="12" customHeight="1" x14ac:dyDescent="0.2">
      <c r="A40" s="2"/>
      <c r="B40" s="3"/>
      <c r="C40" s="3"/>
      <c r="D40" s="11"/>
      <c r="E40" s="11"/>
      <c r="F40" s="9">
        <f t="shared" si="1"/>
        <v>1</v>
      </c>
      <c r="G40" s="9"/>
      <c r="H40" s="11"/>
      <c r="I40" s="4"/>
      <c r="J40" s="52"/>
      <c r="K40" s="36"/>
      <c r="L40" s="25"/>
      <c r="M40" s="5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3"/>
    </row>
    <row r="41" spans="1:34" ht="12" customHeight="1" x14ac:dyDescent="0.2">
      <c r="A41" s="2"/>
      <c r="B41" s="3"/>
      <c r="C41" s="3"/>
      <c r="D41" s="11"/>
      <c r="E41" s="11"/>
      <c r="F41" s="9">
        <f t="shared" si="1"/>
        <v>1</v>
      </c>
      <c r="G41" s="9"/>
      <c r="H41" s="11"/>
      <c r="I41" s="4"/>
      <c r="J41" s="52"/>
      <c r="K41" s="36"/>
      <c r="L41" s="25"/>
      <c r="M41" s="5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3"/>
    </row>
    <row r="42" spans="1:34" ht="12" customHeight="1" x14ac:dyDescent="0.2">
      <c r="A42" s="2"/>
      <c r="B42" s="3"/>
      <c r="C42" s="3"/>
      <c r="D42" s="11"/>
      <c r="E42" s="11"/>
      <c r="F42" s="9">
        <f t="shared" si="1"/>
        <v>1</v>
      </c>
      <c r="G42" s="9"/>
      <c r="H42" s="11"/>
      <c r="I42" s="4"/>
      <c r="J42" s="52"/>
      <c r="K42" s="36"/>
      <c r="L42" s="25"/>
      <c r="M42" s="5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3"/>
    </row>
    <row r="43" spans="1:34" ht="12" customHeight="1" x14ac:dyDescent="0.2">
      <c r="A43" s="2"/>
      <c r="B43" s="3"/>
      <c r="C43" s="3"/>
      <c r="D43" s="11"/>
      <c r="E43" s="11"/>
      <c r="F43" s="9">
        <f t="shared" si="1"/>
        <v>1</v>
      </c>
      <c r="G43" s="9"/>
      <c r="H43" s="11"/>
      <c r="I43" s="4"/>
      <c r="J43" s="52"/>
      <c r="K43" s="36"/>
      <c r="L43" s="25"/>
      <c r="M43" s="5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3"/>
    </row>
    <row r="44" spans="1:34" ht="12" customHeight="1" x14ac:dyDescent="0.2">
      <c r="A44" s="2"/>
      <c r="B44" s="3"/>
      <c r="C44" s="3"/>
      <c r="D44" s="11"/>
      <c r="E44" s="11"/>
      <c r="F44" s="9">
        <f t="shared" si="1"/>
        <v>1</v>
      </c>
      <c r="G44" s="9"/>
      <c r="H44" s="11"/>
      <c r="I44" s="4"/>
      <c r="J44" s="52"/>
      <c r="K44" s="36"/>
      <c r="L44" s="25"/>
      <c r="M44" s="5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3"/>
    </row>
    <row r="45" spans="1:34" s="47" customFormat="1" ht="12" customHeight="1" x14ac:dyDescent="0.2">
      <c r="A45" s="40"/>
      <c r="B45" s="40"/>
      <c r="C45" s="41" t="s">
        <v>89</v>
      </c>
      <c r="D45" s="44"/>
      <c r="E45" s="42"/>
      <c r="F45" s="42"/>
      <c r="G45" s="44"/>
      <c r="H45" s="42"/>
      <c r="I45" s="44"/>
      <c r="J45" s="53"/>
      <c r="K45" s="45"/>
      <c r="L45" s="61"/>
      <c r="M45" s="43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 ht="12" customHeight="1" x14ac:dyDescent="0.2">
      <c r="A46" s="2"/>
      <c r="B46" s="3"/>
      <c r="C46" s="3"/>
      <c r="D46" s="11"/>
      <c r="E46" s="11"/>
      <c r="F46" s="9">
        <f t="shared" si="1"/>
        <v>1</v>
      </c>
      <c r="G46" s="9"/>
      <c r="H46" s="11"/>
      <c r="I46" s="4"/>
      <c r="J46" s="52"/>
      <c r="K46" s="36"/>
      <c r="L46" s="25"/>
      <c r="M46" s="5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3"/>
    </row>
    <row r="47" spans="1:34" ht="12" customHeight="1" x14ac:dyDescent="0.2">
      <c r="A47" s="2"/>
      <c r="B47" s="3"/>
      <c r="C47" s="3"/>
      <c r="D47" s="11"/>
      <c r="E47" s="11"/>
      <c r="F47" s="9">
        <f t="shared" si="1"/>
        <v>1</v>
      </c>
      <c r="G47" s="9"/>
      <c r="H47" s="11"/>
      <c r="I47" s="4"/>
      <c r="J47" s="52"/>
      <c r="K47" s="36"/>
      <c r="L47" s="25"/>
      <c r="M47" s="5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3"/>
    </row>
    <row r="48" spans="1:34" ht="12" customHeight="1" x14ac:dyDescent="0.2">
      <c r="A48" s="2"/>
      <c r="B48" s="3"/>
      <c r="C48" s="3"/>
      <c r="D48" s="11"/>
      <c r="E48" s="11"/>
      <c r="F48" s="9">
        <f t="shared" si="1"/>
        <v>1</v>
      </c>
      <c r="G48" s="9"/>
      <c r="H48" s="11"/>
      <c r="I48" s="4"/>
      <c r="J48" s="52"/>
      <c r="K48" s="36"/>
      <c r="L48" s="25"/>
      <c r="M48" s="5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3"/>
    </row>
    <row r="49" spans="1:34" ht="12" customHeight="1" x14ac:dyDescent="0.2">
      <c r="A49" s="2"/>
      <c r="B49" s="3"/>
      <c r="C49" s="3"/>
      <c r="D49" s="11"/>
      <c r="E49" s="11"/>
      <c r="F49" s="9">
        <f t="shared" si="1"/>
        <v>1</v>
      </c>
      <c r="G49" s="9"/>
      <c r="H49" s="11"/>
      <c r="I49" s="4"/>
      <c r="J49" s="52"/>
      <c r="K49" s="36"/>
      <c r="L49" s="25"/>
      <c r="M49" s="5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3"/>
    </row>
    <row r="50" spans="1:34" ht="12" customHeight="1" x14ac:dyDescent="0.2">
      <c r="A50" s="2"/>
      <c r="B50" s="3"/>
      <c r="C50" s="3"/>
      <c r="D50" s="11"/>
      <c r="E50" s="11"/>
      <c r="F50" s="9">
        <f t="shared" si="1"/>
        <v>1</v>
      </c>
      <c r="G50" s="9"/>
      <c r="H50" s="11"/>
      <c r="I50" s="4"/>
      <c r="J50" s="52"/>
      <c r="K50" s="36"/>
      <c r="L50" s="25"/>
      <c r="M50" s="5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3"/>
    </row>
    <row r="51" spans="1:34" ht="12" customHeight="1" x14ac:dyDescent="0.2">
      <c r="A51" s="2"/>
      <c r="B51" s="3"/>
      <c r="C51" s="3"/>
      <c r="D51" s="11"/>
      <c r="E51" s="11"/>
      <c r="F51" s="9">
        <f t="shared" si="1"/>
        <v>1</v>
      </c>
      <c r="G51" s="9"/>
      <c r="H51" s="11"/>
      <c r="I51" s="4"/>
      <c r="J51" s="52"/>
      <c r="K51" s="36"/>
      <c r="L51" s="25"/>
      <c r="M51" s="5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3"/>
    </row>
    <row r="52" spans="1:34" ht="12" customHeight="1" x14ac:dyDescent="0.2">
      <c r="A52" s="2"/>
      <c r="B52" s="3"/>
      <c r="C52" s="3"/>
      <c r="D52" s="11"/>
      <c r="E52" s="11"/>
      <c r="F52" s="9">
        <f t="shared" si="1"/>
        <v>1</v>
      </c>
      <c r="G52" s="9"/>
      <c r="H52" s="11"/>
      <c r="I52" s="4"/>
      <c r="J52" s="52"/>
      <c r="K52" s="36"/>
      <c r="L52" s="25"/>
      <c r="M52" s="5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3"/>
    </row>
    <row r="53" spans="1:34" ht="12" customHeight="1" x14ac:dyDescent="0.2">
      <c r="A53" s="2"/>
      <c r="B53" s="3"/>
      <c r="C53" s="3"/>
      <c r="D53" s="11"/>
      <c r="E53" s="11"/>
      <c r="F53" s="9">
        <f t="shared" si="1"/>
        <v>1</v>
      </c>
      <c r="G53" s="9"/>
      <c r="H53" s="11"/>
      <c r="I53" s="4"/>
      <c r="J53" s="52"/>
      <c r="K53" s="36"/>
      <c r="L53" s="25"/>
      <c r="M53" s="5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3"/>
    </row>
    <row r="54" spans="1:34" s="47" customFormat="1" ht="12" customHeight="1" x14ac:dyDescent="0.2">
      <c r="A54" s="40"/>
      <c r="B54" s="40"/>
      <c r="C54" s="41" t="s">
        <v>90</v>
      </c>
      <c r="D54" s="44"/>
      <c r="E54" s="42"/>
      <c r="F54" s="42"/>
      <c r="G54" s="44"/>
      <c r="H54" s="42"/>
      <c r="I54" s="44"/>
      <c r="J54" s="53"/>
      <c r="K54" s="45"/>
      <c r="L54" s="61"/>
      <c r="M54" s="43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spans="1:34" ht="12" customHeight="1" x14ac:dyDescent="0.2">
      <c r="A55" s="2"/>
      <c r="B55" s="3"/>
      <c r="C55" s="3"/>
      <c r="D55" s="11"/>
      <c r="E55" s="11"/>
      <c r="F55" s="9">
        <f t="shared" si="1"/>
        <v>1</v>
      </c>
      <c r="G55" s="9"/>
      <c r="H55" s="11"/>
      <c r="I55" s="4"/>
      <c r="J55" s="52"/>
      <c r="K55" s="36"/>
      <c r="L55" s="25"/>
      <c r="M55" s="5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3"/>
    </row>
    <row r="56" spans="1:34" ht="12" customHeight="1" x14ac:dyDescent="0.2">
      <c r="A56" s="2"/>
      <c r="B56" s="3"/>
      <c r="C56" s="3"/>
      <c r="D56" s="11"/>
      <c r="E56" s="11"/>
      <c r="F56" s="9">
        <f t="shared" si="1"/>
        <v>1</v>
      </c>
      <c r="G56" s="9"/>
      <c r="H56" s="11"/>
      <c r="I56" s="4"/>
      <c r="J56" s="52"/>
      <c r="K56" s="36"/>
      <c r="L56" s="25"/>
      <c r="M56" s="5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3"/>
    </row>
    <row r="57" spans="1:34" ht="12" customHeight="1" x14ac:dyDescent="0.2">
      <c r="A57" s="2"/>
      <c r="B57" s="3"/>
      <c r="C57" s="3"/>
      <c r="D57" s="11"/>
      <c r="E57" s="11"/>
      <c r="F57" s="9">
        <f t="shared" si="1"/>
        <v>1</v>
      </c>
      <c r="G57" s="9"/>
      <c r="H57" s="11"/>
      <c r="I57" s="4"/>
      <c r="J57" s="52"/>
      <c r="K57" s="36"/>
      <c r="L57" s="25"/>
      <c r="M57" s="5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3"/>
    </row>
    <row r="58" spans="1:34" ht="12" customHeight="1" x14ac:dyDescent="0.2">
      <c r="A58" s="2"/>
      <c r="B58" s="3"/>
      <c r="C58" s="3"/>
      <c r="D58" s="11"/>
      <c r="E58" s="11"/>
      <c r="F58" s="9">
        <f t="shared" si="1"/>
        <v>1</v>
      </c>
      <c r="G58" s="9"/>
      <c r="H58" s="11"/>
      <c r="I58" s="4"/>
      <c r="J58" s="52"/>
      <c r="K58" s="36"/>
      <c r="L58" s="25"/>
      <c r="M58" s="5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3"/>
    </row>
    <row r="59" spans="1:34" ht="12" customHeight="1" x14ac:dyDescent="0.2">
      <c r="A59" s="2"/>
      <c r="B59" s="3"/>
      <c r="C59" s="3"/>
      <c r="D59" s="11"/>
      <c r="E59" s="11"/>
      <c r="F59" s="9">
        <f t="shared" si="1"/>
        <v>1</v>
      </c>
      <c r="G59" s="9"/>
      <c r="H59" s="11"/>
      <c r="I59" s="4"/>
      <c r="J59" s="52"/>
      <c r="K59" s="36"/>
      <c r="L59" s="25"/>
      <c r="M59" s="5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3"/>
    </row>
    <row r="60" spans="1:34" ht="12" customHeight="1" x14ac:dyDescent="0.2">
      <c r="A60" s="2"/>
      <c r="B60" s="3"/>
      <c r="C60" s="3"/>
      <c r="D60" s="11"/>
      <c r="E60" s="11"/>
      <c r="F60" s="9">
        <f t="shared" si="1"/>
        <v>1</v>
      </c>
      <c r="G60" s="9"/>
      <c r="H60" s="11"/>
      <c r="I60" s="4"/>
      <c r="J60" s="52"/>
      <c r="K60" s="36"/>
      <c r="L60" s="25"/>
      <c r="M60" s="5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3"/>
    </row>
    <row r="61" spans="1:34" ht="12" customHeight="1" x14ac:dyDescent="0.2">
      <c r="A61" s="2"/>
      <c r="B61" s="15"/>
      <c r="C61" s="7"/>
      <c r="D61" s="8"/>
      <c r="E61" s="8"/>
      <c r="F61" s="9">
        <f t="shared" si="1"/>
        <v>1</v>
      </c>
      <c r="G61" s="9"/>
      <c r="H61" s="8"/>
      <c r="I61" s="4"/>
      <c r="J61" s="50"/>
      <c r="K61" s="3"/>
      <c r="L61" s="25"/>
      <c r="M61" s="9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3"/>
    </row>
    <row r="62" spans="1:34" s="47" customFormat="1" ht="12" customHeight="1" x14ac:dyDescent="0.2">
      <c r="A62" s="40"/>
      <c r="C62" s="47" t="s">
        <v>91</v>
      </c>
      <c r="D62" s="56"/>
      <c r="E62" s="56"/>
      <c r="F62" s="56"/>
      <c r="G62" s="56"/>
      <c r="H62" s="56"/>
      <c r="I62" s="56"/>
      <c r="J62" s="58"/>
      <c r="K62" s="59"/>
      <c r="L62" s="60"/>
      <c r="M62" s="57"/>
      <c r="N62" s="55"/>
      <c r="O62" s="55"/>
      <c r="P62" s="55"/>
      <c r="Q62" s="60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</row>
    <row r="63" spans="1:34" ht="12" customHeight="1" x14ac:dyDescent="0.2">
      <c r="A63" s="16"/>
      <c r="N63" s="28"/>
      <c r="O63" s="28"/>
      <c r="P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9"/>
    </row>
    <row r="64" spans="1:34" ht="12" customHeight="1" x14ac:dyDescent="0.2">
      <c r="A64" s="16"/>
      <c r="N64" s="28"/>
      <c r="O64" s="28"/>
      <c r="P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9"/>
    </row>
    <row r="65" spans="1:34" ht="12" customHeight="1" x14ac:dyDescent="0.2">
      <c r="A65" s="16"/>
      <c r="N65" s="28"/>
      <c r="O65" s="28"/>
      <c r="P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9"/>
    </row>
    <row r="66" spans="1:34" ht="12" customHeight="1" x14ac:dyDescent="0.2">
      <c r="A66" s="16"/>
      <c r="N66" s="28"/>
      <c r="O66" s="28"/>
      <c r="P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9"/>
    </row>
    <row r="67" spans="1:34" ht="12" customHeight="1" x14ac:dyDescent="0.2">
      <c r="A67" s="16"/>
      <c r="N67" s="28"/>
      <c r="O67" s="28"/>
      <c r="P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9"/>
    </row>
    <row r="68" spans="1:34" ht="12" customHeight="1" x14ac:dyDescent="0.2">
      <c r="A68" s="16"/>
      <c r="N68" s="28"/>
      <c r="O68" s="28"/>
      <c r="P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9"/>
    </row>
    <row r="69" spans="1:34" ht="12" customHeight="1" x14ac:dyDescent="0.2">
      <c r="A69" s="16"/>
      <c r="N69" s="28"/>
      <c r="O69" s="28"/>
      <c r="P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9"/>
    </row>
    <row r="70" spans="1:34" ht="12" customHeight="1" x14ac:dyDescent="0.2">
      <c r="A70" s="16"/>
      <c r="N70" s="28"/>
      <c r="O70" s="28"/>
      <c r="P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9"/>
    </row>
    <row r="71" spans="1:34" ht="12" customHeight="1" x14ac:dyDescent="0.2">
      <c r="A71" s="16"/>
      <c r="N71" s="28"/>
      <c r="O71" s="28"/>
      <c r="P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9"/>
    </row>
    <row r="72" spans="1:34" ht="12" customHeight="1" x14ac:dyDescent="0.2">
      <c r="A72" s="16"/>
      <c r="N72" s="28"/>
      <c r="O72" s="28"/>
      <c r="P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9"/>
    </row>
    <row r="73" spans="1:34" ht="12" customHeight="1" x14ac:dyDescent="0.2">
      <c r="A73" s="16"/>
      <c r="N73" s="28"/>
      <c r="O73" s="28"/>
      <c r="P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9"/>
    </row>
    <row r="74" spans="1:34" ht="12" customHeight="1" x14ac:dyDescent="0.2">
      <c r="A74" s="16"/>
      <c r="N74" s="28"/>
      <c r="O74" s="28"/>
      <c r="P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9"/>
    </row>
    <row r="75" spans="1:34" ht="12" customHeight="1" x14ac:dyDescent="0.2">
      <c r="N75" s="28"/>
      <c r="O75" s="28"/>
      <c r="P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9"/>
    </row>
    <row r="76" spans="1:34" ht="12" customHeight="1" x14ac:dyDescent="0.2">
      <c r="N76" s="28"/>
      <c r="O76" s="28"/>
      <c r="P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9"/>
    </row>
    <row r="77" spans="1:34" ht="12" customHeight="1" x14ac:dyDescent="0.2">
      <c r="N77" s="28"/>
      <c r="O77" s="28"/>
      <c r="P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9"/>
    </row>
    <row r="78" spans="1:34" ht="12" customHeight="1" x14ac:dyDescent="0.2">
      <c r="N78" s="28"/>
      <c r="O78" s="28"/>
      <c r="P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9"/>
    </row>
    <row r="79" spans="1:34" ht="12" customHeight="1" x14ac:dyDescent="0.2">
      <c r="N79" s="28"/>
      <c r="O79" s="28"/>
      <c r="P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9"/>
    </row>
    <row r="80" spans="1:34" ht="12" customHeight="1" x14ac:dyDescent="0.2">
      <c r="N80" s="28"/>
      <c r="O80" s="28"/>
      <c r="P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9"/>
    </row>
    <row r="81" spans="14:34" ht="12" customHeight="1" x14ac:dyDescent="0.2">
      <c r="N81" s="28"/>
      <c r="O81" s="28"/>
      <c r="P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9"/>
    </row>
    <row r="82" spans="14:34" ht="12" customHeight="1" x14ac:dyDescent="0.2">
      <c r="N82" s="28"/>
      <c r="O82" s="28"/>
      <c r="P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9"/>
    </row>
    <row r="83" spans="14:34" ht="12" customHeight="1" x14ac:dyDescent="0.2">
      <c r="N83" s="28"/>
      <c r="O83" s="28"/>
      <c r="P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9"/>
    </row>
    <row r="84" spans="14:34" ht="12" customHeight="1" x14ac:dyDescent="0.2">
      <c r="N84" s="28"/>
      <c r="O84" s="28"/>
      <c r="P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9"/>
    </row>
    <row r="85" spans="14:34" ht="12" customHeight="1" x14ac:dyDescent="0.2">
      <c r="N85" s="28"/>
      <c r="O85" s="28"/>
      <c r="P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9"/>
    </row>
    <row r="86" spans="14:34" ht="12" customHeight="1" x14ac:dyDescent="0.2">
      <c r="N86" s="28"/>
      <c r="O86" s="28"/>
      <c r="P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9"/>
    </row>
    <row r="87" spans="14:34" ht="12" customHeight="1" x14ac:dyDescent="0.2">
      <c r="N87" s="28"/>
      <c r="O87" s="28"/>
      <c r="P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9"/>
    </row>
    <row r="88" spans="14:34" ht="12" customHeight="1" x14ac:dyDescent="0.2">
      <c r="N88" s="28"/>
      <c r="O88" s="28"/>
      <c r="P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9"/>
    </row>
    <row r="89" spans="14:34" ht="12" customHeight="1" x14ac:dyDescent="0.2">
      <c r="N89" s="28"/>
      <c r="O89" s="28"/>
      <c r="P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9"/>
    </row>
    <row r="90" spans="14:34" ht="12" customHeight="1" x14ac:dyDescent="0.2">
      <c r="N90" s="28"/>
      <c r="O90" s="28"/>
      <c r="P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9"/>
    </row>
    <row r="91" spans="14:34" ht="12" customHeight="1" x14ac:dyDescent="0.2">
      <c r="N91" s="28"/>
      <c r="O91" s="28"/>
      <c r="P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9"/>
    </row>
    <row r="92" spans="14:34" ht="12" customHeight="1" x14ac:dyDescent="0.2">
      <c r="N92" s="28"/>
      <c r="O92" s="28"/>
      <c r="P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9"/>
    </row>
    <row r="93" spans="14:34" ht="12" customHeight="1" x14ac:dyDescent="0.2">
      <c r="N93" s="28"/>
      <c r="O93" s="28"/>
      <c r="P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9"/>
    </row>
    <row r="94" spans="14:34" ht="12" customHeight="1" x14ac:dyDescent="0.2">
      <c r="N94" s="28"/>
      <c r="O94" s="28"/>
      <c r="P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9"/>
    </row>
    <row r="95" spans="14:34" ht="12" customHeight="1" x14ac:dyDescent="0.2">
      <c r="N95" s="28"/>
      <c r="O95" s="28"/>
      <c r="P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9"/>
    </row>
    <row r="96" spans="14:34" ht="12" customHeight="1" x14ac:dyDescent="0.2">
      <c r="N96" s="28"/>
      <c r="O96" s="28"/>
      <c r="P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9"/>
    </row>
    <row r="97" spans="14:34" ht="12" customHeight="1" x14ac:dyDescent="0.2">
      <c r="N97" s="28"/>
      <c r="O97" s="28"/>
      <c r="P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9"/>
    </row>
    <row r="98" spans="14:34" ht="12" customHeight="1" x14ac:dyDescent="0.2">
      <c r="N98" s="28"/>
      <c r="O98" s="28"/>
      <c r="P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9"/>
    </row>
    <row r="99" spans="14:34" ht="12" customHeight="1" x14ac:dyDescent="0.2">
      <c r="N99" s="28"/>
      <c r="O99" s="28"/>
      <c r="P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9"/>
    </row>
    <row r="100" spans="14:34" ht="12" customHeight="1" x14ac:dyDescent="0.2">
      <c r="N100" s="28"/>
      <c r="O100" s="28"/>
      <c r="P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9"/>
    </row>
    <row r="101" spans="14:34" ht="12" customHeight="1" x14ac:dyDescent="0.2">
      <c r="N101" s="28"/>
      <c r="O101" s="28"/>
      <c r="P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9"/>
    </row>
    <row r="102" spans="14:34" ht="12" customHeight="1" x14ac:dyDescent="0.2">
      <c r="N102" s="28"/>
      <c r="O102" s="28"/>
      <c r="P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9"/>
    </row>
    <row r="103" spans="14:34" ht="12" customHeight="1" x14ac:dyDescent="0.2">
      <c r="N103" s="28"/>
      <c r="O103" s="28"/>
      <c r="P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9"/>
    </row>
    <row r="104" spans="14:34" ht="12" customHeight="1" x14ac:dyDescent="0.2">
      <c r="N104" s="28"/>
      <c r="O104" s="28"/>
      <c r="P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9"/>
    </row>
    <row r="105" spans="14:34" ht="12" customHeight="1" x14ac:dyDescent="0.2">
      <c r="N105" s="28"/>
      <c r="O105" s="28"/>
      <c r="P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9"/>
    </row>
    <row r="106" spans="14:34" ht="12" customHeight="1" x14ac:dyDescent="0.2">
      <c r="N106" s="28"/>
      <c r="O106" s="28"/>
      <c r="P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9"/>
    </row>
    <row r="107" spans="14:34" ht="12" customHeight="1" x14ac:dyDescent="0.2">
      <c r="N107" s="28"/>
      <c r="O107" s="28"/>
      <c r="P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9"/>
    </row>
    <row r="108" spans="14:34" ht="12" customHeight="1" x14ac:dyDescent="0.2">
      <c r="N108" s="28"/>
      <c r="O108" s="28"/>
      <c r="P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9"/>
    </row>
    <row r="109" spans="14:34" ht="12" customHeight="1" x14ac:dyDescent="0.2">
      <c r="N109" s="28"/>
      <c r="O109" s="28"/>
      <c r="P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9"/>
    </row>
    <row r="110" spans="14:34" ht="12" customHeight="1" x14ac:dyDescent="0.2">
      <c r="N110" s="28"/>
      <c r="O110" s="28"/>
      <c r="P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9"/>
    </row>
    <row r="111" spans="14:34" ht="12" customHeight="1" x14ac:dyDescent="0.2">
      <c r="N111" s="28"/>
      <c r="O111" s="28"/>
      <c r="P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9"/>
    </row>
    <row r="112" spans="14:34" ht="12" customHeight="1" x14ac:dyDescent="0.2">
      <c r="N112" s="28"/>
      <c r="O112" s="28"/>
      <c r="P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9"/>
    </row>
    <row r="113" spans="14:34" ht="12" customHeight="1" x14ac:dyDescent="0.2">
      <c r="N113" s="28"/>
      <c r="O113" s="28"/>
      <c r="P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9"/>
    </row>
    <row r="114" spans="14:34" ht="12" customHeight="1" x14ac:dyDescent="0.2">
      <c r="N114" s="28"/>
      <c r="O114" s="28"/>
      <c r="P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9"/>
    </row>
    <row r="115" spans="14:34" ht="12" customHeight="1" x14ac:dyDescent="0.2">
      <c r="N115" s="28"/>
      <c r="O115" s="28"/>
      <c r="P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9"/>
    </row>
    <row r="116" spans="14:34" ht="12" customHeight="1" x14ac:dyDescent="0.2">
      <c r="N116" s="28"/>
      <c r="O116" s="28"/>
      <c r="P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9"/>
    </row>
    <row r="117" spans="14:34" ht="12" customHeight="1" x14ac:dyDescent="0.2">
      <c r="N117" s="28"/>
      <c r="O117" s="28"/>
      <c r="P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9"/>
    </row>
    <row r="118" spans="14:34" ht="12" customHeight="1" x14ac:dyDescent="0.2">
      <c r="N118" s="28"/>
      <c r="O118" s="28"/>
      <c r="P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9"/>
    </row>
    <row r="119" spans="14:34" ht="12" customHeight="1" x14ac:dyDescent="0.2">
      <c r="N119" s="28"/>
      <c r="O119" s="28"/>
      <c r="P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9"/>
    </row>
    <row r="120" spans="14:34" ht="12" customHeight="1" x14ac:dyDescent="0.2">
      <c r="N120" s="28"/>
      <c r="O120" s="28"/>
      <c r="P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9"/>
    </row>
    <row r="121" spans="14:34" ht="12" customHeight="1" x14ac:dyDescent="0.2">
      <c r="N121" s="28"/>
      <c r="O121" s="28"/>
      <c r="P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9"/>
    </row>
    <row r="122" spans="14:34" ht="12" customHeight="1" x14ac:dyDescent="0.2">
      <c r="N122" s="28"/>
      <c r="O122" s="28"/>
      <c r="P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9"/>
    </row>
    <row r="123" spans="14:34" ht="12" customHeight="1" x14ac:dyDescent="0.2">
      <c r="N123" s="28"/>
      <c r="O123" s="28"/>
      <c r="P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9"/>
    </row>
    <row r="124" spans="14:34" ht="12" customHeight="1" x14ac:dyDescent="0.2">
      <c r="N124" s="28"/>
      <c r="O124" s="28"/>
      <c r="P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9"/>
    </row>
    <row r="125" spans="14:34" ht="12" customHeight="1" x14ac:dyDescent="0.2">
      <c r="N125" s="28"/>
      <c r="O125" s="28"/>
      <c r="P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9"/>
    </row>
    <row r="126" spans="14:34" ht="12" customHeight="1" x14ac:dyDescent="0.2">
      <c r="N126" s="28"/>
      <c r="O126" s="28"/>
      <c r="P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9"/>
    </row>
    <row r="127" spans="14:34" ht="12" customHeight="1" x14ac:dyDescent="0.2">
      <c r="N127" s="28"/>
      <c r="O127" s="28"/>
      <c r="P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9"/>
    </row>
    <row r="128" spans="14:34" ht="12" customHeight="1" x14ac:dyDescent="0.2">
      <c r="N128" s="28"/>
      <c r="O128" s="28"/>
      <c r="P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9"/>
    </row>
    <row r="129" spans="14:34" ht="12" customHeight="1" x14ac:dyDescent="0.2">
      <c r="N129" s="28"/>
      <c r="O129" s="28"/>
      <c r="P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9"/>
    </row>
    <row r="130" spans="14:34" ht="12" customHeight="1" x14ac:dyDescent="0.2">
      <c r="N130" s="28"/>
      <c r="O130" s="28"/>
      <c r="P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9"/>
    </row>
    <row r="131" spans="14:34" ht="12" customHeight="1" x14ac:dyDescent="0.2">
      <c r="N131" s="28"/>
      <c r="O131" s="28"/>
      <c r="P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9"/>
    </row>
    <row r="132" spans="14:34" ht="12" customHeight="1" x14ac:dyDescent="0.2">
      <c r="N132" s="28"/>
      <c r="O132" s="28"/>
      <c r="P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9"/>
    </row>
    <row r="133" spans="14:34" ht="12" customHeight="1" x14ac:dyDescent="0.2">
      <c r="N133" s="28"/>
      <c r="O133" s="28"/>
      <c r="P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9"/>
    </row>
    <row r="134" spans="14:34" ht="12" customHeight="1" x14ac:dyDescent="0.2">
      <c r="N134" s="28"/>
      <c r="O134" s="28"/>
      <c r="P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9"/>
    </row>
    <row r="135" spans="14:34" ht="12" customHeight="1" x14ac:dyDescent="0.2">
      <c r="N135" s="28"/>
      <c r="O135" s="28"/>
      <c r="P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9"/>
    </row>
    <row r="136" spans="14:34" ht="12" customHeight="1" x14ac:dyDescent="0.2">
      <c r="N136" s="28"/>
      <c r="O136" s="28"/>
      <c r="P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9"/>
    </row>
    <row r="137" spans="14:34" ht="12" customHeight="1" x14ac:dyDescent="0.2">
      <c r="N137" s="28"/>
      <c r="O137" s="28"/>
      <c r="P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9"/>
    </row>
    <row r="138" spans="14:34" ht="12" customHeight="1" x14ac:dyDescent="0.2">
      <c r="N138" s="28"/>
      <c r="O138" s="28"/>
      <c r="P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9"/>
    </row>
    <row r="139" spans="14:34" ht="12" customHeight="1" x14ac:dyDescent="0.2">
      <c r="N139" s="28"/>
      <c r="O139" s="28"/>
      <c r="P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9"/>
    </row>
    <row r="140" spans="14:34" ht="12" customHeight="1" x14ac:dyDescent="0.2">
      <c r="N140" s="28"/>
      <c r="O140" s="28"/>
      <c r="P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9"/>
    </row>
    <row r="141" spans="14:34" ht="12" customHeight="1" x14ac:dyDescent="0.2">
      <c r="N141" s="28"/>
      <c r="O141" s="28"/>
      <c r="P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9"/>
    </row>
    <row r="142" spans="14:34" ht="12" customHeight="1" x14ac:dyDescent="0.2">
      <c r="N142" s="28"/>
      <c r="O142" s="28"/>
      <c r="P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9"/>
    </row>
    <row r="143" spans="14:34" ht="12" customHeight="1" x14ac:dyDescent="0.2">
      <c r="N143" s="28"/>
      <c r="O143" s="28"/>
      <c r="P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9"/>
    </row>
    <row r="144" spans="14:34" ht="12" customHeight="1" x14ac:dyDescent="0.2">
      <c r="N144" s="28"/>
      <c r="O144" s="28"/>
      <c r="P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9"/>
    </row>
    <row r="145" spans="14:34" ht="12" customHeight="1" x14ac:dyDescent="0.2">
      <c r="N145" s="28"/>
      <c r="O145" s="28"/>
      <c r="P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9"/>
    </row>
    <row r="146" spans="14:34" ht="12" customHeight="1" x14ac:dyDescent="0.2">
      <c r="N146" s="28"/>
      <c r="O146" s="28"/>
      <c r="P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9"/>
    </row>
    <row r="147" spans="14:34" ht="12" customHeight="1" x14ac:dyDescent="0.2">
      <c r="N147" s="28"/>
      <c r="O147" s="28"/>
      <c r="P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9"/>
    </row>
    <row r="148" spans="14:34" ht="12" customHeight="1" x14ac:dyDescent="0.2">
      <c r="N148" s="28"/>
      <c r="O148" s="28"/>
      <c r="P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9"/>
    </row>
    <row r="149" spans="14:34" ht="12" customHeight="1" x14ac:dyDescent="0.2">
      <c r="N149" s="28"/>
      <c r="O149" s="28"/>
      <c r="P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9"/>
    </row>
    <row r="150" spans="14:34" ht="12" customHeight="1" x14ac:dyDescent="0.2">
      <c r="N150" s="28"/>
      <c r="O150" s="28"/>
      <c r="P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9"/>
    </row>
    <row r="151" spans="14:34" ht="12" customHeight="1" x14ac:dyDescent="0.2">
      <c r="N151" s="28"/>
      <c r="O151" s="28"/>
      <c r="P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9"/>
    </row>
    <row r="152" spans="14:34" ht="12" customHeight="1" x14ac:dyDescent="0.2">
      <c r="N152" s="28"/>
      <c r="O152" s="28"/>
      <c r="P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9"/>
    </row>
    <row r="153" spans="14:34" ht="12" customHeight="1" x14ac:dyDescent="0.2">
      <c r="N153" s="28"/>
      <c r="O153" s="28"/>
      <c r="P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9"/>
    </row>
    <row r="154" spans="14:34" ht="12" customHeight="1" x14ac:dyDescent="0.2">
      <c r="N154" s="28"/>
      <c r="O154" s="28"/>
      <c r="P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9"/>
    </row>
    <row r="155" spans="14:34" ht="12" customHeight="1" x14ac:dyDescent="0.2">
      <c r="N155" s="28"/>
      <c r="O155" s="28"/>
      <c r="P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9"/>
    </row>
    <row r="156" spans="14:34" ht="12" customHeight="1" x14ac:dyDescent="0.2">
      <c r="N156" s="28"/>
      <c r="O156" s="28"/>
      <c r="P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9"/>
    </row>
    <row r="157" spans="14:34" ht="12" customHeight="1" x14ac:dyDescent="0.2">
      <c r="N157" s="28"/>
      <c r="O157" s="28"/>
      <c r="P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9"/>
    </row>
    <row r="158" spans="14:34" ht="12" customHeight="1" x14ac:dyDescent="0.2">
      <c r="N158" s="28"/>
      <c r="O158" s="28"/>
      <c r="P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9"/>
    </row>
    <row r="159" spans="14:34" ht="12" customHeight="1" x14ac:dyDescent="0.2">
      <c r="N159" s="28"/>
      <c r="O159" s="28"/>
      <c r="P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9"/>
    </row>
    <row r="160" spans="14:34" ht="12" customHeight="1" x14ac:dyDescent="0.2">
      <c r="N160" s="28"/>
      <c r="O160" s="28"/>
      <c r="P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9"/>
    </row>
    <row r="161" spans="14:34" ht="12" customHeight="1" x14ac:dyDescent="0.2">
      <c r="N161" s="28"/>
      <c r="O161" s="28"/>
      <c r="P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9"/>
    </row>
    <row r="162" spans="14:34" ht="12" customHeight="1" x14ac:dyDescent="0.2">
      <c r="N162" s="28"/>
      <c r="O162" s="28"/>
      <c r="P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9"/>
    </row>
    <row r="163" spans="14:34" ht="12" customHeight="1" x14ac:dyDescent="0.2">
      <c r="N163" s="28"/>
      <c r="O163" s="28"/>
      <c r="P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9"/>
    </row>
    <row r="164" spans="14:34" ht="12" customHeight="1" x14ac:dyDescent="0.2">
      <c r="N164" s="28"/>
      <c r="O164" s="28"/>
      <c r="P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9"/>
    </row>
    <row r="165" spans="14:34" ht="12" customHeight="1" x14ac:dyDescent="0.2">
      <c r="N165" s="28"/>
      <c r="O165" s="28"/>
      <c r="P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9"/>
    </row>
    <row r="166" spans="14:34" ht="12" customHeight="1" x14ac:dyDescent="0.2">
      <c r="N166" s="28"/>
      <c r="O166" s="28"/>
      <c r="P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9"/>
    </row>
    <row r="167" spans="14:34" ht="12" customHeight="1" x14ac:dyDescent="0.2">
      <c r="N167" s="28"/>
      <c r="O167" s="28"/>
      <c r="P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9"/>
    </row>
    <row r="168" spans="14:34" ht="12" customHeight="1" x14ac:dyDescent="0.2">
      <c r="N168" s="28"/>
      <c r="O168" s="28"/>
      <c r="P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9"/>
    </row>
    <row r="169" spans="14:34" ht="12" customHeight="1" x14ac:dyDescent="0.2">
      <c r="N169" s="28"/>
      <c r="O169" s="28"/>
      <c r="P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9"/>
    </row>
    <row r="170" spans="14:34" ht="12" customHeight="1" x14ac:dyDescent="0.2">
      <c r="N170" s="28"/>
      <c r="O170" s="28"/>
      <c r="P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9"/>
    </row>
    <row r="171" spans="14:34" ht="12" customHeight="1" x14ac:dyDescent="0.2">
      <c r="N171" s="28"/>
      <c r="O171" s="28"/>
      <c r="P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9"/>
    </row>
    <row r="172" spans="14:34" ht="12" customHeight="1" x14ac:dyDescent="0.2">
      <c r="N172" s="28"/>
      <c r="O172" s="28"/>
      <c r="P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9"/>
    </row>
    <row r="173" spans="14:34" ht="12" customHeight="1" x14ac:dyDescent="0.2">
      <c r="N173" s="28"/>
      <c r="O173" s="28"/>
      <c r="P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9"/>
    </row>
    <row r="174" spans="14:34" ht="12" customHeight="1" x14ac:dyDescent="0.2">
      <c r="N174" s="28"/>
      <c r="O174" s="28"/>
      <c r="P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9"/>
    </row>
    <row r="175" spans="14:34" ht="12" customHeight="1" x14ac:dyDescent="0.2">
      <c r="N175" s="28"/>
      <c r="O175" s="28"/>
      <c r="P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9"/>
    </row>
    <row r="176" spans="14:34" ht="12" customHeight="1" x14ac:dyDescent="0.2">
      <c r="N176" s="28"/>
      <c r="O176" s="28"/>
      <c r="P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9"/>
    </row>
    <row r="177" spans="14:34" ht="12" customHeight="1" x14ac:dyDescent="0.2">
      <c r="N177" s="28"/>
      <c r="O177" s="28"/>
      <c r="P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9"/>
    </row>
    <row r="178" spans="14:34" ht="12" customHeight="1" x14ac:dyDescent="0.2">
      <c r="N178" s="28"/>
      <c r="O178" s="28"/>
      <c r="P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9"/>
    </row>
    <row r="179" spans="14:34" ht="12" customHeight="1" x14ac:dyDescent="0.2">
      <c r="N179" s="28"/>
      <c r="O179" s="28"/>
      <c r="P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9"/>
    </row>
    <row r="180" spans="14:34" ht="12" customHeight="1" x14ac:dyDescent="0.2">
      <c r="N180" s="28"/>
      <c r="O180" s="28"/>
      <c r="P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9"/>
    </row>
    <row r="181" spans="14:34" ht="12" customHeight="1" x14ac:dyDescent="0.2">
      <c r="N181" s="28"/>
      <c r="O181" s="28"/>
      <c r="P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9"/>
    </row>
    <row r="182" spans="14:34" ht="12" customHeight="1" x14ac:dyDescent="0.2">
      <c r="N182" s="28"/>
      <c r="O182" s="28"/>
      <c r="P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9"/>
    </row>
    <row r="183" spans="14:34" ht="12" customHeight="1" x14ac:dyDescent="0.2">
      <c r="N183" s="28"/>
      <c r="O183" s="28"/>
      <c r="P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9"/>
    </row>
    <row r="184" spans="14:34" ht="12" customHeight="1" x14ac:dyDescent="0.2">
      <c r="N184" s="28"/>
      <c r="O184" s="28"/>
      <c r="P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9"/>
    </row>
    <row r="185" spans="14:34" ht="12" customHeight="1" x14ac:dyDescent="0.2">
      <c r="N185" s="28"/>
      <c r="O185" s="28"/>
      <c r="P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9"/>
    </row>
    <row r="186" spans="14:34" ht="12" customHeight="1" x14ac:dyDescent="0.2">
      <c r="N186" s="28"/>
      <c r="O186" s="28"/>
      <c r="P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9"/>
    </row>
    <row r="187" spans="14:34" ht="12" customHeight="1" x14ac:dyDescent="0.2">
      <c r="N187" s="28"/>
      <c r="O187" s="28"/>
      <c r="P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9"/>
    </row>
    <row r="188" spans="14:34" ht="12" customHeight="1" x14ac:dyDescent="0.2">
      <c r="N188" s="28"/>
      <c r="O188" s="28"/>
      <c r="P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9"/>
    </row>
    <row r="189" spans="14:34" ht="12" customHeight="1" x14ac:dyDescent="0.2">
      <c r="N189" s="28"/>
      <c r="O189" s="28"/>
      <c r="P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9"/>
    </row>
    <row r="190" spans="14:34" ht="12" customHeight="1" x14ac:dyDescent="0.2">
      <c r="N190" s="28"/>
      <c r="O190" s="28"/>
      <c r="P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9"/>
    </row>
    <row r="191" spans="14:34" ht="12" customHeight="1" x14ac:dyDescent="0.2">
      <c r="N191" s="28"/>
      <c r="O191" s="28"/>
      <c r="P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9"/>
    </row>
    <row r="192" spans="14:34" ht="12" customHeight="1" x14ac:dyDescent="0.2">
      <c r="N192" s="28"/>
      <c r="O192" s="28"/>
      <c r="P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9"/>
    </row>
    <row r="193" spans="14:34" ht="12" customHeight="1" x14ac:dyDescent="0.2">
      <c r="N193" s="28"/>
      <c r="O193" s="28"/>
      <c r="P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9"/>
    </row>
    <row r="194" spans="14:34" ht="12" customHeight="1" x14ac:dyDescent="0.2">
      <c r="N194" s="28"/>
      <c r="O194" s="28"/>
      <c r="P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9"/>
    </row>
    <row r="195" spans="14:34" ht="12" customHeight="1" x14ac:dyDescent="0.2">
      <c r="N195" s="28"/>
      <c r="O195" s="28"/>
      <c r="P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9"/>
    </row>
    <row r="196" spans="14:34" ht="12" customHeight="1" x14ac:dyDescent="0.2">
      <c r="N196" s="28"/>
      <c r="O196" s="28"/>
      <c r="P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9"/>
    </row>
    <row r="197" spans="14:34" ht="12" customHeight="1" x14ac:dyDescent="0.2">
      <c r="N197" s="28"/>
      <c r="O197" s="28"/>
      <c r="P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9"/>
    </row>
    <row r="198" spans="14:34" ht="12" customHeight="1" x14ac:dyDescent="0.2">
      <c r="N198" s="28"/>
      <c r="O198" s="28"/>
      <c r="P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9"/>
    </row>
    <row r="199" spans="14:34" ht="12" customHeight="1" x14ac:dyDescent="0.2">
      <c r="N199" s="28"/>
      <c r="O199" s="28"/>
      <c r="P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9"/>
    </row>
    <row r="200" spans="14:34" ht="12" customHeight="1" x14ac:dyDescent="0.2">
      <c r="N200" s="28"/>
      <c r="O200" s="28"/>
      <c r="P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9"/>
    </row>
    <row r="201" spans="14:34" ht="12" customHeight="1" x14ac:dyDescent="0.2">
      <c r="N201" s="28"/>
      <c r="O201" s="28"/>
      <c r="P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9"/>
    </row>
    <row r="202" spans="14:34" ht="12" customHeight="1" x14ac:dyDescent="0.2">
      <c r="N202" s="28"/>
      <c r="O202" s="28"/>
      <c r="P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9"/>
    </row>
    <row r="203" spans="14:34" ht="12" customHeight="1" x14ac:dyDescent="0.2">
      <c r="N203" s="28"/>
      <c r="O203" s="28"/>
      <c r="P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9"/>
    </row>
    <row r="204" spans="14:34" ht="12" customHeight="1" x14ac:dyDescent="0.2">
      <c r="N204" s="28"/>
      <c r="O204" s="28"/>
      <c r="P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9"/>
    </row>
    <row r="205" spans="14:34" ht="12" customHeight="1" x14ac:dyDescent="0.2">
      <c r="N205" s="28"/>
      <c r="O205" s="28"/>
      <c r="P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9"/>
    </row>
    <row r="206" spans="14:34" ht="12" customHeight="1" x14ac:dyDescent="0.2">
      <c r="N206" s="28"/>
      <c r="O206" s="28"/>
      <c r="P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9"/>
    </row>
    <row r="207" spans="14:34" ht="12" customHeight="1" x14ac:dyDescent="0.2">
      <c r="N207" s="28"/>
      <c r="O207" s="28"/>
      <c r="P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9"/>
    </row>
    <row r="208" spans="14:34" ht="12" customHeight="1" x14ac:dyDescent="0.2">
      <c r="N208" s="28"/>
      <c r="O208" s="28"/>
      <c r="P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9"/>
    </row>
    <row r="209" spans="14:34" ht="12" customHeight="1" x14ac:dyDescent="0.2">
      <c r="N209" s="28"/>
      <c r="O209" s="28"/>
      <c r="P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9"/>
    </row>
    <row r="210" spans="14:34" ht="12" customHeight="1" x14ac:dyDescent="0.2">
      <c r="N210" s="28"/>
      <c r="O210" s="28"/>
      <c r="P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9"/>
    </row>
    <row r="211" spans="14:34" ht="12" customHeight="1" x14ac:dyDescent="0.2">
      <c r="N211" s="28"/>
      <c r="O211" s="28"/>
      <c r="P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9"/>
    </row>
    <row r="212" spans="14:34" ht="12" customHeight="1" x14ac:dyDescent="0.2">
      <c r="N212" s="28"/>
      <c r="O212" s="28"/>
      <c r="P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9"/>
    </row>
    <row r="213" spans="14:34" ht="12" customHeight="1" x14ac:dyDescent="0.2">
      <c r="N213" s="28"/>
      <c r="O213" s="28"/>
      <c r="P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9"/>
    </row>
    <row r="214" spans="14:34" ht="12" customHeight="1" x14ac:dyDescent="0.2">
      <c r="N214" s="28"/>
      <c r="O214" s="28"/>
      <c r="P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9"/>
    </row>
    <row r="215" spans="14:34" ht="12" customHeight="1" x14ac:dyDescent="0.2">
      <c r="N215" s="28"/>
      <c r="O215" s="28"/>
      <c r="P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9"/>
    </row>
    <row r="216" spans="14:34" ht="12" customHeight="1" x14ac:dyDescent="0.2">
      <c r="N216" s="28"/>
      <c r="O216" s="28"/>
      <c r="P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9"/>
    </row>
    <row r="217" spans="14:34" ht="12" customHeight="1" x14ac:dyDescent="0.2">
      <c r="N217" s="28"/>
      <c r="O217" s="28"/>
      <c r="P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9"/>
    </row>
    <row r="218" spans="14:34" ht="12" customHeight="1" x14ac:dyDescent="0.2">
      <c r="N218" s="28"/>
      <c r="O218" s="28"/>
      <c r="P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9"/>
    </row>
    <row r="219" spans="14:34" ht="12" customHeight="1" x14ac:dyDescent="0.2">
      <c r="N219" s="28"/>
      <c r="O219" s="28"/>
      <c r="P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9"/>
    </row>
    <row r="220" spans="14:34" ht="12" customHeight="1" x14ac:dyDescent="0.2">
      <c r="N220" s="28"/>
      <c r="O220" s="28"/>
      <c r="P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9"/>
    </row>
    <row r="221" spans="14:34" ht="12" customHeight="1" x14ac:dyDescent="0.2">
      <c r="N221" s="28"/>
      <c r="O221" s="28"/>
      <c r="P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9"/>
    </row>
    <row r="222" spans="14:34" ht="12" customHeight="1" x14ac:dyDescent="0.2">
      <c r="N222" s="28"/>
      <c r="O222" s="28"/>
      <c r="P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9"/>
    </row>
    <row r="223" spans="14:34" ht="12" customHeight="1" x14ac:dyDescent="0.2">
      <c r="N223" s="28"/>
      <c r="O223" s="28"/>
      <c r="P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9"/>
    </row>
    <row r="224" spans="14:34" ht="12" customHeight="1" x14ac:dyDescent="0.2">
      <c r="N224" s="28"/>
      <c r="O224" s="28"/>
      <c r="P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9"/>
    </row>
    <row r="225" spans="14:34" ht="12" customHeight="1" x14ac:dyDescent="0.2">
      <c r="N225" s="28"/>
      <c r="O225" s="28"/>
      <c r="P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9"/>
    </row>
    <row r="226" spans="14:34" ht="12" customHeight="1" x14ac:dyDescent="0.2">
      <c r="N226" s="28"/>
      <c r="O226" s="28"/>
      <c r="P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9"/>
    </row>
    <row r="227" spans="14:34" ht="12" customHeight="1" x14ac:dyDescent="0.2">
      <c r="N227" s="28"/>
      <c r="O227" s="28"/>
      <c r="P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9"/>
    </row>
    <row r="228" spans="14:34" ht="12" customHeight="1" x14ac:dyDescent="0.2">
      <c r="N228" s="28"/>
      <c r="O228" s="28"/>
      <c r="P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9"/>
    </row>
    <row r="229" spans="14:34" ht="12" customHeight="1" x14ac:dyDescent="0.2">
      <c r="N229" s="28"/>
      <c r="O229" s="28"/>
      <c r="P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9"/>
    </row>
    <row r="230" spans="14:34" ht="12" customHeight="1" x14ac:dyDescent="0.2">
      <c r="N230" s="28"/>
      <c r="O230" s="28"/>
      <c r="P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9"/>
    </row>
    <row r="231" spans="14:34" ht="12" customHeight="1" x14ac:dyDescent="0.2">
      <c r="N231" s="28"/>
      <c r="O231" s="28"/>
      <c r="P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9"/>
    </row>
    <row r="232" spans="14:34" ht="12" customHeight="1" x14ac:dyDescent="0.2">
      <c r="N232" s="28"/>
      <c r="O232" s="28"/>
      <c r="P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9"/>
    </row>
    <row r="233" spans="14:34" ht="12" customHeight="1" x14ac:dyDescent="0.2">
      <c r="N233" s="28"/>
      <c r="O233" s="28"/>
      <c r="P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9"/>
    </row>
    <row r="234" spans="14:34" ht="12" customHeight="1" x14ac:dyDescent="0.2">
      <c r="N234" s="28"/>
      <c r="O234" s="28"/>
      <c r="P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9"/>
    </row>
    <row r="235" spans="14:34" ht="12" customHeight="1" x14ac:dyDescent="0.2">
      <c r="N235" s="28"/>
      <c r="O235" s="28"/>
      <c r="P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9"/>
    </row>
    <row r="236" spans="14:34" ht="12" customHeight="1" x14ac:dyDescent="0.2">
      <c r="N236" s="28"/>
      <c r="O236" s="28"/>
      <c r="P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9"/>
    </row>
    <row r="237" spans="14:34" ht="12" customHeight="1" x14ac:dyDescent="0.2">
      <c r="N237" s="28"/>
      <c r="O237" s="28"/>
      <c r="P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9"/>
    </row>
    <row r="238" spans="14:34" ht="12" customHeight="1" x14ac:dyDescent="0.2">
      <c r="N238" s="28"/>
      <c r="O238" s="28"/>
      <c r="P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9"/>
    </row>
    <row r="239" spans="14:34" ht="12" customHeight="1" x14ac:dyDescent="0.2">
      <c r="N239" s="28"/>
      <c r="O239" s="28"/>
      <c r="P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9"/>
    </row>
    <row r="240" spans="14:34" ht="12" customHeight="1" x14ac:dyDescent="0.2">
      <c r="N240" s="28"/>
      <c r="O240" s="28"/>
      <c r="P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9"/>
    </row>
    <row r="241" spans="14:34" ht="12" customHeight="1" x14ac:dyDescent="0.2">
      <c r="N241" s="28"/>
      <c r="O241" s="28"/>
      <c r="P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9"/>
    </row>
    <row r="242" spans="14:34" ht="12" customHeight="1" x14ac:dyDescent="0.2">
      <c r="N242" s="28"/>
      <c r="O242" s="28"/>
      <c r="P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9"/>
    </row>
    <row r="243" spans="14:34" ht="12" customHeight="1" x14ac:dyDescent="0.2">
      <c r="N243" s="28"/>
      <c r="O243" s="28"/>
      <c r="P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9"/>
    </row>
    <row r="244" spans="14:34" ht="12" customHeight="1" x14ac:dyDescent="0.2">
      <c r="N244" s="28"/>
      <c r="O244" s="28"/>
      <c r="P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9"/>
    </row>
    <row r="245" spans="14:34" ht="12" customHeight="1" x14ac:dyDescent="0.2">
      <c r="N245" s="28"/>
      <c r="O245" s="28"/>
      <c r="P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9"/>
    </row>
    <row r="246" spans="14:34" ht="12" customHeight="1" x14ac:dyDescent="0.2">
      <c r="N246" s="28"/>
      <c r="O246" s="28"/>
      <c r="P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9"/>
    </row>
    <row r="247" spans="14:34" ht="12" customHeight="1" x14ac:dyDescent="0.2">
      <c r="N247" s="28"/>
      <c r="O247" s="28"/>
      <c r="P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9"/>
    </row>
    <row r="248" spans="14:34" ht="12" customHeight="1" x14ac:dyDescent="0.2">
      <c r="N248" s="28"/>
      <c r="O248" s="28"/>
      <c r="P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9"/>
    </row>
    <row r="249" spans="14:34" ht="12" customHeight="1" x14ac:dyDescent="0.2">
      <c r="N249" s="28"/>
      <c r="O249" s="28"/>
      <c r="P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9"/>
    </row>
    <row r="250" spans="14:34" ht="12" customHeight="1" x14ac:dyDescent="0.2">
      <c r="N250" s="28"/>
      <c r="O250" s="28"/>
      <c r="P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9"/>
    </row>
    <row r="251" spans="14:34" ht="12" customHeight="1" x14ac:dyDescent="0.2">
      <c r="N251" s="28"/>
      <c r="O251" s="28"/>
      <c r="P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9"/>
    </row>
    <row r="252" spans="14:34" ht="12" customHeight="1" x14ac:dyDescent="0.2">
      <c r="N252" s="28"/>
      <c r="O252" s="28"/>
      <c r="P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9"/>
    </row>
    <row r="253" spans="14:34" ht="12" customHeight="1" x14ac:dyDescent="0.2">
      <c r="N253" s="28"/>
      <c r="O253" s="28"/>
      <c r="P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9"/>
    </row>
    <row r="254" spans="14:34" ht="12" customHeight="1" x14ac:dyDescent="0.2">
      <c r="N254" s="28"/>
      <c r="O254" s="28"/>
      <c r="P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9"/>
    </row>
    <row r="255" spans="14:34" ht="12" customHeight="1" x14ac:dyDescent="0.2">
      <c r="N255" s="28"/>
      <c r="O255" s="28"/>
      <c r="P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9"/>
    </row>
    <row r="256" spans="14:34" ht="12" customHeight="1" x14ac:dyDescent="0.2">
      <c r="N256" s="28"/>
      <c r="O256" s="28"/>
      <c r="P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9"/>
    </row>
    <row r="257" spans="14:34" ht="12" customHeight="1" x14ac:dyDescent="0.2">
      <c r="N257" s="28"/>
      <c r="O257" s="28"/>
      <c r="P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9"/>
    </row>
    <row r="258" spans="14:34" ht="12" customHeight="1" x14ac:dyDescent="0.2">
      <c r="N258" s="28"/>
      <c r="O258" s="28"/>
      <c r="P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9"/>
    </row>
    <row r="259" spans="14:34" ht="12" customHeight="1" x14ac:dyDescent="0.2">
      <c r="N259" s="28"/>
      <c r="O259" s="28"/>
      <c r="P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9"/>
    </row>
    <row r="260" spans="14:34" ht="12" customHeight="1" x14ac:dyDescent="0.2">
      <c r="N260" s="28"/>
      <c r="O260" s="28"/>
      <c r="P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9"/>
    </row>
    <row r="261" spans="14:34" ht="12" customHeight="1" x14ac:dyDescent="0.2">
      <c r="N261" s="28"/>
      <c r="O261" s="28"/>
      <c r="P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9"/>
    </row>
    <row r="262" spans="14:34" ht="12" customHeight="1" x14ac:dyDescent="0.2">
      <c r="N262" s="28"/>
      <c r="O262" s="28"/>
      <c r="P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9"/>
    </row>
    <row r="263" spans="14:34" ht="12" customHeight="1" x14ac:dyDescent="0.2">
      <c r="N263" s="28"/>
      <c r="O263" s="28"/>
      <c r="P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9"/>
    </row>
    <row r="264" spans="14:34" ht="12" customHeight="1" x14ac:dyDescent="0.2">
      <c r="N264" s="28"/>
      <c r="O264" s="28"/>
      <c r="P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9"/>
    </row>
    <row r="265" spans="14:34" ht="12" customHeight="1" x14ac:dyDescent="0.2">
      <c r="N265" s="28"/>
      <c r="O265" s="28"/>
      <c r="P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9"/>
    </row>
    <row r="266" spans="14:34" ht="12" customHeight="1" x14ac:dyDescent="0.2">
      <c r="N266" s="28"/>
      <c r="O266" s="28"/>
      <c r="P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9"/>
    </row>
    <row r="267" spans="14:34" ht="12" customHeight="1" x14ac:dyDescent="0.2">
      <c r="N267" s="28"/>
      <c r="O267" s="28"/>
      <c r="P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9"/>
    </row>
    <row r="268" spans="14:34" ht="12" customHeight="1" x14ac:dyDescent="0.2">
      <c r="N268" s="28"/>
      <c r="O268" s="28"/>
      <c r="P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9"/>
    </row>
    <row r="269" spans="14:34" ht="12" customHeight="1" x14ac:dyDescent="0.2">
      <c r="N269" s="28"/>
      <c r="O269" s="28"/>
      <c r="P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9"/>
    </row>
    <row r="270" spans="14:34" ht="12" customHeight="1" x14ac:dyDescent="0.2">
      <c r="N270" s="28"/>
      <c r="O270" s="28"/>
      <c r="P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9"/>
    </row>
    <row r="271" spans="14:34" ht="12" customHeight="1" x14ac:dyDescent="0.2">
      <c r="N271" s="28"/>
      <c r="O271" s="28"/>
      <c r="P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9"/>
    </row>
    <row r="272" spans="14:34" ht="12" customHeight="1" x14ac:dyDescent="0.2">
      <c r="N272" s="28"/>
      <c r="O272" s="28"/>
      <c r="P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9"/>
    </row>
    <row r="273" spans="14:34" ht="12" customHeight="1" x14ac:dyDescent="0.2">
      <c r="N273" s="28"/>
      <c r="O273" s="28"/>
      <c r="P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9"/>
    </row>
    <row r="274" spans="14:34" ht="12" customHeight="1" x14ac:dyDescent="0.2">
      <c r="N274" s="28"/>
      <c r="O274" s="28"/>
      <c r="P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9"/>
    </row>
    <row r="275" spans="14:34" ht="12" customHeight="1" x14ac:dyDescent="0.2">
      <c r="N275" s="28"/>
      <c r="O275" s="28"/>
      <c r="P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9"/>
    </row>
    <row r="276" spans="14:34" ht="12" customHeight="1" x14ac:dyDescent="0.2">
      <c r="N276" s="28"/>
      <c r="O276" s="28"/>
      <c r="P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9"/>
    </row>
    <row r="277" spans="14:34" ht="12" customHeight="1" x14ac:dyDescent="0.2">
      <c r="N277" s="28"/>
      <c r="O277" s="28"/>
      <c r="P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9"/>
    </row>
    <row r="278" spans="14:34" ht="12" customHeight="1" x14ac:dyDescent="0.2">
      <c r="N278" s="28"/>
      <c r="O278" s="28"/>
      <c r="P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9"/>
    </row>
    <row r="279" spans="14:34" ht="12" customHeight="1" x14ac:dyDescent="0.2">
      <c r="N279" s="28"/>
      <c r="O279" s="28"/>
      <c r="P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9"/>
    </row>
    <row r="280" spans="14:34" ht="12" customHeight="1" x14ac:dyDescent="0.2">
      <c r="N280" s="28"/>
      <c r="O280" s="28"/>
      <c r="P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9"/>
    </row>
    <row r="281" spans="14:34" ht="12" customHeight="1" x14ac:dyDescent="0.2">
      <c r="N281" s="28"/>
      <c r="O281" s="28"/>
      <c r="P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9"/>
    </row>
    <row r="282" spans="14:34" ht="12" customHeight="1" x14ac:dyDescent="0.2">
      <c r="N282" s="28"/>
      <c r="O282" s="28"/>
      <c r="P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9"/>
    </row>
    <row r="283" spans="14:34" ht="12" customHeight="1" x14ac:dyDescent="0.2">
      <c r="N283" s="28"/>
      <c r="O283" s="28"/>
      <c r="P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9"/>
    </row>
    <row r="284" spans="14:34" ht="12" customHeight="1" x14ac:dyDescent="0.2">
      <c r="N284" s="28"/>
      <c r="O284" s="28"/>
      <c r="P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9"/>
    </row>
    <row r="285" spans="14:34" ht="12" customHeight="1" x14ac:dyDescent="0.2">
      <c r="N285" s="28"/>
      <c r="O285" s="28"/>
      <c r="P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9"/>
    </row>
    <row r="286" spans="14:34" ht="12" customHeight="1" x14ac:dyDescent="0.2">
      <c r="N286" s="28"/>
      <c r="O286" s="28"/>
      <c r="P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9"/>
    </row>
    <row r="287" spans="14:34" ht="12" customHeight="1" x14ac:dyDescent="0.2">
      <c r="N287" s="28"/>
      <c r="O287" s="28"/>
      <c r="P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9"/>
    </row>
    <row r="288" spans="14:34" ht="12" customHeight="1" x14ac:dyDescent="0.2">
      <c r="N288" s="28"/>
      <c r="O288" s="28"/>
      <c r="P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9"/>
    </row>
    <row r="289" spans="14:34" ht="12" customHeight="1" x14ac:dyDescent="0.2">
      <c r="N289" s="28"/>
      <c r="O289" s="28"/>
      <c r="P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9"/>
    </row>
    <row r="290" spans="14:34" ht="12" customHeight="1" x14ac:dyDescent="0.2">
      <c r="N290" s="28"/>
      <c r="O290" s="28"/>
      <c r="P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9"/>
    </row>
    <row r="291" spans="14:34" ht="12" customHeight="1" x14ac:dyDescent="0.2">
      <c r="N291" s="28"/>
      <c r="O291" s="28"/>
      <c r="P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9"/>
    </row>
    <row r="292" spans="14:34" ht="12" customHeight="1" x14ac:dyDescent="0.2">
      <c r="N292" s="28"/>
      <c r="O292" s="28"/>
      <c r="P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9"/>
    </row>
    <row r="293" spans="14:34" ht="12" customHeight="1" x14ac:dyDescent="0.2">
      <c r="N293" s="28"/>
      <c r="O293" s="28"/>
      <c r="P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9"/>
    </row>
    <row r="294" spans="14:34" ht="12" customHeight="1" x14ac:dyDescent="0.2">
      <c r="N294" s="28"/>
      <c r="O294" s="28"/>
      <c r="P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9"/>
    </row>
    <row r="295" spans="14:34" ht="12" customHeight="1" x14ac:dyDescent="0.2">
      <c r="N295" s="28"/>
      <c r="O295" s="28"/>
      <c r="P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9"/>
    </row>
    <row r="296" spans="14:34" ht="12" customHeight="1" x14ac:dyDescent="0.2">
      <c r="N296" s="28"/>
      <c r="O296" s="28"/>
      <c r="P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9"/>
    </row>
    <row r="297" spans="14:34" ht="12" customHeight="1" x14ac:dyDescent="0.2">
      <c r="N297" s="28"/>
      <c r="O297" s="28"/>
      <c r="P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9"/>
    </row>
    <row r="298" spans="14:34" ht="12" customHeight="1" x14ac:dyDescent="0.2">
      <c r="N298" s="28"/>
      <c r="O298" s="28"/>
      <c r="P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9"/>
    </row>
    <row r="299" spans="14:34" ht="12" customHeight="1" x14ac:dyDescent="0.2">
      <c r="N299" s="28"/>
      <c r="O299" s="28"/>
      <c r="P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9"/>
    </row>
    <row r="300" spans="14:34" ht="12" customHeight="1" x14ac:dyDescent="0.2">
      <c r="N300" s="28"/>
      <c r="O300" s="28"/>
      <c r="P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9"/>
    </row>
    <row r="301" spans="14:34" ht="12" customHeight="1" x14ac:dyDescent="0.2">
      <c r="N301" s="28"/>
      <c r="O301" s="28"/>
      <c r="P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9"/>
    </row>
    <row r="302" spans="14:34" ht="12" customHeight="1" x14ac:dyDescent="0.2">
      <c r="N302" s="28"/>
      <c r="O302" s="28"/>
      <c r="P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9"/>
    </row>
    <row r="303" spans="14:34" ht="12" customHeight="1" x14ac:dyDescent="0.2">
      <c r="N303" s="28"/>
      <c r="O303" s="28"/>
      <c r="P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9"/>
    </row>
    <row r="304" spans="14:34" ht="12" customHeight="1" x14ac:dyDescent="0.2">
      <c r="N304" s="28"/>
      <c r="O304" s="28"/>
      <c r="P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9"/>
    </row>
    <row r="305" spans="14:34" ht="12" customHeight="1" x14ac:dyDescent="0.2">
      <c r="N305" s="28"/>
      <c r="O305" s="28"/>
      <c r="P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9"/>
    </row>
    <row r="306" spans="14:34" ht="12" customHeight="1" x14ac:dyDescent="0.2">
      <c r="N306" s="28"/>
      <c r="O306" s="28"/>
      <c r="P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9"/>
    </row>
    <row r="307" spans="14:34" ht="12" customHeight="1" x14ac:dyDescent="0.2">
      <c r="N307" s="28"/>
      <c r="O307" s="28"/>
      <c r="P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9"/>
    </row>
    <row r="308" spans="14:34" ht="12" customHeight="1" x14ac:dyDescent="0.2">
      <c r="N308" s="28"/>
      <c r="O308" s="28"/>
      <c r="P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9"/>
    </row>
    <row r="309" spans="14:34" ht="12" customHeight="1" x14ac:dyDescent="0.2">
      <c r="N309" s="28"/>
      <c r="O309" s="28"/>
      <c r="P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9"/>
    </row>
    <row r="310" spans="14:34" ht="12" customHeight="1" x14ac:dyDescent="0.2">
      <c r="N310" s="28"/>
      <c r="O310" s="28"/>
      <c r="P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9"/>
    </row>
    <row r="311" spans="14:34" ht="12" customHeight="1" x14ac:dyDescent="0.2">
      <c r="N311" s="28"/>
      <c r="O311" s="28"/>
      <c r="P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9"/>
    </row>
    <row r="312" spans="14:34" ht="12" customHeight="1" x14ac:dyDescent="0.2">
      <c r="N312" s="28"/>
      <c r="O312" s="28"/>
      <c r="P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9"/>
    </row>
    <row r="313" spans="14:34" ht="12" customHeight="1" x14ac:dyDescent="0.2">
      <c r="N313" s="28"/>
      <c r="O313" s="28"/>
      <c r="P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9"/>
    </row>
    <row r="314" spans="14:34" ht="12" customHeight="1" x14ac:dyDescent="0.2">
      <c r="N314" s="28"/>
      <c r="O314" s="28"/>
      <c r="P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9"/>
    </row>
    <row r="315" spans="14:34" ht="12" customHeight="1" x14ac:dyDescent="0.2">
      <c r="N315" s="28"/>
      <c r="O315" s="28"/>
      <c r="P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9"/>
    </row>
    <row r="316" spans="14:34" ht="12" customHeight="1" x14ac:dyDescent="0.2">
      <c r="N316" s="28"/>
      <c r="O316" s="28"/>
      <c r="P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9"/>
    </row>
    <row r="317" spans="14:34" ht="12" customHeight="1" x14ac:dyDescent="0.2">
      <c r="N317" s="28"/>
      <c r="O317" s="28"/>
      <c r="P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9"/>
    </row>
    <row r="318" spans="14:34" ht="12" customHeight="1" x14ac:dyDescent="0.2">
      <c r="N318" s="28"/>
      <c r="O318" s="28"/>
      <c r="P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9"/>
    </row>
    <row r="319" spans="14:34" ht="12" customHeight="1" x14ac:dyDescent="0.2">
      <c r="N319" s="28"/>
      <c r="O319" s="28"/>
      <c r="P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9"/>
    </row>
    <row r="320" spans="14:34" ht="12" customHeight="1" x14ac:dyDescent="0.2">
      <c r="N320" s="28"/>
      <c r="O320" s="28"/>
      <c r="P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9"/>
    </row>
    <row r="321" spans="14:34" ht="12" customHeight="1" x14ac:dyDescent="0.2">
      <c r="N321" s="28"/>
      <c r="O321" s="28"/>
      <c r="P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9"/>
    </row>
    <row r="322" spans="14:34" ht="12" customHeight="1" x14ac:dyDescent="0.2">
      <c r="N322" s="28"/>
      <c r="O322" s="28"/>
      <c r="P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9"/>
    </row>
    <row r="323" spans="14:34" ht="12" customHeight="1" x14ac:dyDescent="0.2">
      <c r="N323" s="28"/>
      <c r="O323" s="28"/>
      <c r="P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9"/>
    </row>
    <row r="324" spans="14:34" ht="12" customHeight="1" x14ac:dyDescent="0.2">
      <c r="N324" s="28"/>
      <c r="O324" s="28"/>
      <c r="P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9"/>
    </row>
    <row r="325" spans="14:34" ht="12" customHeight="1" x14ac:dyDescent="0.2">
      <c r="N325" s="28"/>
      <c r="O325" s="28"/>
      <c r="P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9"/>
    </row>
    <row r="326" spans="14:34" ht="12" customHeight="1" x14ac:dyDescent="0.2">
      <c r="N326" s="28"/>
      <c r="O326" s="28"/>
      <c r="P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9"/>
    </row>
    <row r="327" spans="14:34" ht="12" customHeight="1" x14ac:dyDescent="0.2">
      <c r="N327" s="28"/>
      <c r="O327" s="28"/>
      <c r="P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9"/>
    </row>
    <row r="328" spans="14:34" ht="12" customHeight="1" x14ac:dyDescent="0.2">
      <c r="N328" s="28"/>
      <c r="O328" s="28"/>
      <c r="P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9"/>
    </row>
    <row r="329" spans="14:34" ht="12" customHeight="1" x14ac:dyDescent="0.2">
      <c r="N329" s="28"/>
      <c r="O329" s="28"/>
      <c r="P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9"/>
    </row>
    <row r="330" spans="14:34" ht="12" customHeight="1" x14ac:dyDescent="0.2">
      <c r="N330" s="28"/>
      <c r="O330" s="28"/>
      <c r="P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9"/>
    </row>
    <row r="331" spans="14:34" ht="12" customHeight="1" x14ac:dyDescent="0.2">
      <c r="N331" s="28"/>
      <c r="O331" s="28"/>
      <c r="P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9"/>
    </row>
    <row r="332" spans="14:34" ht="12" customHeight="1" x14ac:dyDescent="0.2">
      <c r="N332" s="28"/>
      <c r="O332" s="28"/>
      <c r="P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9"/>
    </row>
    <row r="333" spans="14:34" ht="12" customHeight="1" x14ac:dyDescent="0.2">
      <c r="N333" s="28"/>
      <c r="O333" s="28"/>
      <c r="P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9"/>
    </row>
    <row r="334" spans="14:34" ht="12" customHeight="1" x14ac:dyDescent="0.2">
      <c r="N334" s="28"/>
      <c r="O334" s="28"/>
      <c r="P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9"/>
    </row>
    <row r="335" spans="14:34" ht="12" customHeight="1" x14ac:dyDescent="0.2">
      <c r="N335" s="28"/>
      <c r="O335" s="28"/>
      <c r="P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9"/>
    </row>
    <row r="336" spans="14:34" ht="12" customHeight="1" x14ac:dyDescent="0.2">
      <c r="N336" s="28"/>
      <c r="O336" s="28"/>
      <c r="P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9"/>
    </row>
    <row r="337" spans="14:34" ht="12" customHeight="1" x14ac:dyDescent="0.2">
      <c r="N337" s="28"/>
      <c r="O337" s="28"/>
      <c r="P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9"/>
    </row>
    <row r="338" spans="14:34" ht="12" customHeight="1" x14ac:dyDescent="0.2">
      <c r="N338" s="28"/>
      <c r="O338" s="28"/>
      <c r="P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9"/>
    </row>
    <row r="339" spans="14:34" ht="12" customHeight="1" x14ac:dyDescent="0.2">
      <c r="N339" s="28"/>
      <c r="O339" s="28"/>
      <c r="P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9"/>
    </row>
    <row r="340" spans="14:34" ht="12" customHeight="1" x14ac:dyDescent="0.2">
      <c r="N340" s="28"/>
      <c r="O340" s="28"/>
      <c r="P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9"/>
    </row>
    <row r="341" spans="14:34" ht="12" customHeight="1" x14ac:dyDescent="0.2">
      <c r="N341" s="28"/>
      <c r="O341" s="28"/>
      <c r="P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9"/>
    </row>
    <row r="342" spans="14:34" ht="12" customHeight="1" x14ac:dyDescent="0.2">
      <c r="N342" s="28"/>
      <c r="O342" s="28"/>
      <c r="P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9"/>
    </row>
    <row r="343" spans="14:34" ht="12" customHeight="1" x14ac:dyDescent="0.2">
      <c r="N343" s="28"/>
      <c r="O343" s="28"/>
      <c r="P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9"/>
    </row>
    <row r="344" spans="14:34" ht="12" customHeight="1" x14ac:dyDescent="0.2">
      <c r="N344" s="28"/>
      <c r="O344" s="28"/>
      <c r="P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9"/>
    </row>
    <row r="345" spans="14:34" ht="12" customHeight="1" x14ac:dyDescent="0.2">
      <c r="N345" s="28"/>
      <c r="O345" s="28"/>
      <c r="P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9"/>
    </row>
    <row r="346" spans="14:34" ht="12" customHeight="1" x14ac:dyDescent="0.2">
      <c r="N346" s="28"/>
      <c r="O346" s="28"/>
      <c r="P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9"/>
    </row>
    <row r="347" spans="14:34" ht="12" customHeight="1" x14ac:dyDescent="0.2">
      <c r="N347" s="28"/>
      <c r="O347" s="28"/>
      <c r="P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9"/>
    </row>
    <row r="348" spans="14:34" ht="12" customHeight="1" x14ac:dyDescent="0.2">
      <c r="N348" s="28"/>
      <c r="O348" s="28"/>
      <c r="P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9"/>
    </row>
    <row r="349" spans="14:34" ht="12" customHeight="1" x14ac:dyDescent="0.2">
      <c r="N349" s="28"/>
      <c r="O349" s="28"/>
      <c r="P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9"/>
    </row>
    <row r="350" spans="14:34" ht="12" customHeight="1" x14ac:dyDescent="0.2">
      <c r="N350" s="28"/>
      <c r="O350" s="28"/>
      <c r="P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9"/>
    </row>
    <row r="351" spans="14:34" ht="12" customHeight="1" x14ac:dyDescent="0.2">
      <c r="N351" s="28"/>
      <c r="O351" s="28"/>
      <c r="P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9"/>
    </row>
    <row r="352" spans="14:34" ht="12" customHeight="1" x14ac:dyDescent="0.2">
      <c r="N352" s="28"/>
      <c r="O352" s="28"/>
      <c r="P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9"/>
    </row>
    <row r="353" spans="14:34" ht="12" customHeight="1" x14ac:dyDescent="0.2">
      <c r="N353" s="28"/>
      <c r="O353" s="28"/>
      <c r="P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9"/>
    </row>
    <row r="354" spans="14:34" ht="12" customHeight="1" x14ac:dyDescent="0.2">
      <c r="N354" s="28"/>
      <c r="O354" s="28"/>
      <c r="P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9"/>
    </row>
    <row r="355" spans="14:34" ht="12" customHeight="1" x14ac:dyDescent="0.2">
      <c r="N355" s="28"/>
      <c r="O355" s="28"/>
      <c r="P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9"/>
    </row>
    <row r="356" spans="14:34" ht="12" customHeight="1" x14ac:dyDescent="0.2">
      <c r="N356" s="28"/>
      <c r="O356" s="28"/>
      <c r="P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9"/>
    </row>
    <row r="357" spans="14:34" ht="12" customHeight="1" x14ac:dyDescent="0.2">
      <c r="N357" s="28"/>
      <c r="O357" s="28"/>
      <c r="P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9"/>
    </row>
    <row r="358" spans="14:34" ht="12" customHeight="1" x14ac:dyDescent="0.2">
      <c r="N358" s="28"/>
      <c r="O358" s="28"/>
      <c r="P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9"/>
    </row>
    <row r="359" spans="14:34" ht="12" customHeight="1" x14ac:dyDescent="0.2">
      <c r="N359" s="28"/>
      <c r="O359" s="28"/>
      <c r="P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9"/>
    </row>
    <row r="360" spans="14:34" ht="12" customHeight="1" x14ac:dyDescent="0.2">
      <c r="N360" s="28"/>
      <c r="O360" s="28"/>
      <c r="P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9"/>
    </row>
    <row r="361" spans="14:34" ht="12" customHeight="1" x14ac:dyDescent="0.2">
      <c r="N361" s="28"/>
      <c r="O361" s="28"/>
      <c r="P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9"/>
    </row>
    <row r="362" spans="14:34" ht="12" customHeight="1" x14ac:dyDescent="0.2">
      <c r="N362" s="28"/>
      <c r="O362" s="28"/>
      <c r="P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9"/>
    </row>
    <row r="363" spans="14:34" ht="12" customHeight="1" x14ac:dyDescent="0.2">
      <c r="N363" s="28"/>
      <c r="O363" s="28"/>
      <c r="P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9"/>
    </row>
    <row r="364" spans="14:34" ht="12" customHeight="1" x14ac:dyDescent="0.2">
      <c r="N364" s="28"/>
      <c r="O364" s="28"/>
      <c r="P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9"/>
    </row>
    <row r="365" spans="14:34" ht="12" customHeight="1" x14ac:dyDescent="0.2">
      <c r="N365" s="28"/>
      <c r="O365" s="28"/>
      <c r="P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9"/>
    </row>
    <row r="366" spans="14:34" ht="12" customHeight="1" x14ac:dyDescent="0.2">
      <c r="N366" s="28"/>
      <c r="O366" s="28"/>
      <c r="P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9"/>
    </row>
    <row r="367" spans="14:34" ht="12" customHeight="1" x14ac:dyDescent="0.2">
      <c r="N367" s="28"/>
      <c r="O367" s="28"/>
      <c r="P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9"/>
    </row>
    <row r="368" spans="14:34" ht="12" customHeight="1" x14ac:dyDescent="0.2">
      <c r="N368" s="28"/>
      <c r="O368" s="28"/>
      <c r="P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9"/>
    </row>
    <row r="369" spans="14:34" ht="12" customHeight="1" x14ac:dyDescent="0.2">
      <c r="N369" s="28"/>
      <c r="O369" s="28"/>
      <c r="P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9"/>
    </row>
    <row r="370" spans="14:34" ht="12" customHeight="1" x14ac:dyDescent="0.2">
      <c r="N370" s="28"/>
      <c r="O370" s="28"/>
      <c r="P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9"/>
    </row>
    <row r="371" spans="14:34" ht="12" customHeight="1" x14ac:dyDescent="0.2">
      <c r="N371" s="28"/>
      <c r="O371" s="28"/>
      <c r="P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9"/>
    </row>
    <row r="372" spans="14:34" ht="12" customHeight="1" x14ac:dyDescent="0.2">
      <c r="N372" s="28"/>
      <c r="O372" s="28"/>
      <c r="P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9"/>
    </row>
    <row r="373" spans="14:34" ht="12" customHeight="1" x14ac:dyDescent="0.2">
      <c r="N373" s="28"/>
      <c r="O373" s="28"/>
      <c r="P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9"/>
    </row>
    <row r="374" spans="14:34" ht="12" customHeight="1" x14ac:dyDescent="0.2">
      <c r="N374" s="28"/>
      <c r="O374" s="28"/>
      <c r="P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9"/>
    </row>
    <row r="375" spans="14:34" ht="12" customHeight="1" x14ac:dyDescent="0.2">
      <c r="N375" s="28"/>
      <c r="O375" s="28"/>
      <c r="P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9"/>
    </row>
    <row r="376" spans="14:34" ht="12" customHeight="1" x14ac:dyDescent="0.2">
      <c r="N376" s="28"/>
      <c r="O376" s="28"/>
      <c r="P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9"/>
    </row>
    <row r="377" spans="14:34" ht="12" customHeight="1" x14ac:dyDescent="0.2">
      <c r="N377" s="28"/>
      <c r="O377" s="28"/>
      <c r="P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9"/>
    </row>
    <row r="378" spans="14:34" ht="12" customHeight="1" x14ac:dyDescent="0.2">
      <c r="N378" s="28"/>
      <c r="O378" s="28"/>
      <c r="P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9"/>
    </row>
    <row r="379" spans="14:34" ht="12" customHeight="1" x14ac:dyDescent="0.2">
      <c r="N379" s="28"/>
      <c r="O379" s="28"/>
      <c r="P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9"/>
    </row>
    <row r="380" spans="14:34" ht="12" customHeight="1" x14ac:dyDescent="0.2">
      <c r="N380" s="28"/>
      <c r="O380" s="28"/>
      <c r="P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9"/>
    </row>
    <row r="381" spans="14:34" ht="12" customHeight="1" x14ac:dyDescent="0.2">
      <c r="N381" s="28"/>
      <c r="O381" s="28"/>
      <c r="P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9"/>
    </row>
    <row r="382" spans="14:34" ht="12" customHeight="1" x14ac:dyDescent="0.2">
      <c r="N382" s="28"/>
      <c r="O382" s="28"/>
      <c r="P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9"/>
    </row>
    <row r="383" spans="14:34" ht="12" customHeight="1" x14ac:dyDescent="0.2">
      <c r="N383" s="28"/>
      <c r="O383" s="28"/>
      <c r="P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9"/>
    </row>
    <row r="384" spans="14:34" ht="12" customHeight="1" x14ac:dyDescent="0.2">
      <c r="N384" s="28"/>
      <c r="O384" s="28"/>
      <c r="P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9"/>
    </row>
    <row r="385" spans="14:34" ht="12" customHeight="1" x14ac:dyDescent="0.2">
      <c r="N385" s="28"/>
      <c r="O385" s="28"/>
      <c r="P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9"/>
    </row>
    <row r="386" spans="14:34" ht="12" customHeight="1" x14ac:dyDescent="0.2">
      <c r="N386" s="28"/>
      <c r="O386" s="28"/>
      <c r="P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9"/>
    </row>
    <row r="387" spans="14:34" ht="12" customHeight="1" x14ac:dyDescent="0.2">
      <c r="N387" s="28"/>
      <c r="O387" s="28"/>
      <c r="P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9"/>
    </row>
    <row r="388" spans="14:34" ht="12" customHeight="1" x14ac:dyDescent="0.2">
      <c r="N388" s="28"/>
      <c r="O388" s="28"/>
      <c r="P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9"/>
    </row>
    <row r="389" spans="14:34" ht="12" customHeight="1" x14ac:dyDescent="0.2">
      <c r="N389" s="28"/>
      <c r="O389" s="28"/>
      <c r="P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9"/>
    </row>
    <row r="390" spans="14:34" ht="12" customHeight="1" x14ac:dyDescent="0.2">
      <c r="N390" s="28"/>
      <c r="O390" s="28"/>
      <c r="P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9"/>
    </row>
    <row r="391" spans="14:34" ht="12" customHeight="1" x14ac:dyDescent="0.2">
      <c r="N391" s="28"/>
      <c r="O391" s="28"/>
      <c r="P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9"/>
    </row>
    <row r="392" spans="14:34" ht="12" customHeight="1" x14ac:dyDescent="0.2">
      <c r="N392" s="28"/>
      <c r="O392" s="28"/>
      <c r="P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9"/>
    </row>
    <row r="393" spans="14:34" ht="12" customHeight="1" x14ac:dyDescent="0.2">
      <c r="N393" s="28"/>
      <c r="O393" s="28"/>
      <c r="P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9"/>
    </row>
    <row r="394" spans="14:34" ht="12" customHeight="1" x14ac:dyDescent="0.2">
      <c r="N394" s="28"/>
      <c r="O394" s="28"/>
      <c r="P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9"/>
    </row>
    <row r="395" spans="14:34" ht="12" customHeight="1" x14ac:dyDescent="0.2">
      <c r="N395" s="28"/>
      <c r="O395" s="28"/>
      <c r="P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9"/>
    </row>
    <row r="396" spans="14:34" ht="12" customHeight="1" x14ac:dyDescent="0.2">
      <c r="N396" s="28"/>
      <c r="O396" s="28"/>
      <c r="P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9"/>
    </row>
    <row r="397" spans="14:34" ht="12" customHeight="1" x14ac:dyDescent="0.2">
      <c r="N397" s="28"/>
      <c r="O397" s="28"/>
      <c r="P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9"/>
    </row>
    <row r="398" spans="14:34" ht="12" customHeight="1" x14ac:dyDescent="0.2">
      <c r="N398" s="28"/>
      <c r="O398" s="28"/>
      <c r="P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9"/>
    </row>
    <row r="399" spans="14:34" ht="12" customHeight="1" x14ac:dyDescent="0.2">
      <c r="N399" s="28"/>
      <c r="O399" s="28"/>
      <c r="P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9"/>
    </row>
    <row r="400" spans="14:34" ht="12" customHeight="1" x14ac:dyDescent="0.2">
      <c r="N400" s="28"/>
      <c r="O400" s="28"/>
      <c r="P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9"/>
    </row>
    <row r="401" spans="14:34" ht="12" customHeight="1" x14ac:dyDescent="0.2">
      <c r="N401" s="28"/>
      <c r="O401" s="28"/>
      <c r="P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9"/>
    </row>
    <row r="402" spans="14:34" ht="12" customHeight="1" x14ac:dyDescent="0.2">
      <c r="N402" s="28"/>
      <c r="O402" s="28"/>
      <c r="P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9"/>
    </row>
    <row r="403" spans="14:34" ht="12" customHeight="1" x14ac:dyDescent="0.2">
      <c r="N403" s="28"/>
      <c r="O403" s="28"/>
      <c r="P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9"/>
    </row>
    <row r="404" spans="14:34" ht="12" customHeight="1" x14ac:dyDescent="0.2">
      <c r="N404" s="28"/>
      <c r="O404" s="28"/>
      <c r="P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9"/>
    </row>
    <row r="405" spans="14:34" ht="12" customHeight="1" x14ac:dyDescent="0.2">
      <c r="N405" s="28"/>
      <c r="O405" s="28"/>
      <c r="P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9"/>
    </row>
    <row r="406" spans="14:34" ht="12" customHeight="1" x14ac:dyDescent="0.2">
      <c r="N406" s="28"/>
      <c r="O406" s="28"/>
      <c r="P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9"/>
    </row>
    <row r="407" spans="14:34" ht="12" customHeight="1" x14ac:dyDescent="0.2">
      <c r="N407" s="28"/>
      <c r="O407" s="28"/>
      <c r="P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9"/>
    </row>
    <row r="408" spans="14:34" ht="12" customHeight="1" x14ac:dyDescent="0.2">
      <c r="N408" s="28"/>
      <c r="O408" s="28"/>
      <c r="P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9"/>
    </row>
    <row r="409" spans="14:34" ht="12" customHeight="1" x14ac:dyDescent="0.2">
      <c r="N409" s="28"/>
      <c r="O409" s="28"/>
      <c r="P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9"/>
    </row>
    <row r="410" spans="14:34" ht="12" customHeight="1" x14ac:dyDescent="0.2">
      <c r="N410" s="28"/>
      <c r="O410" s="28"/>
      <c r="P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9"/>
    </row>
    <row r="411" spans="14:34" ht="12" customHeight="1" x14ac:dyDescent="0.2">
      <c r="N411" s="28"/>
      <c r="O411" s="28"/>
      <c r="P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9"/>
    </row>
    <row r="412" spans="14:34" ht="12" customHeight="1" x14ac:dyDescent="0.2">
      <c r="N412" s="28"/>
      <c r="O412" s="28"/>
      <c r="P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9"/>
    </row>
    <row r="413" spans="14:34" ht="12" customHeight="1" x14ac:dyDescent="0.2">
      <c r="N413" s="28"/>
      <c r="O413" s="28"/>
      <c r="P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9"/>
    </row>
    <row r="414" spans="14:34" ht="12" customHeight="1" x14ac:dyDescent="0.2">
      <c r="N414" s="28"/>
      <c r="O414" s="28"/>
      <c r="P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9"/>
    </row>
    <row r="415" spans="14:34" ht="12" customHeight="1" x14ac:dyDescent="0.2">
      <c r="N415" s="28"/>
      <c r="O415" s="28"/>
      <c r="P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9"/>
    </row>
    <row r="416" spans="14:34" ht="12" customHeight="1" x14ac:dyDescent="0.2">
      <c r="N416" s="28"/>
      <c r="O416" s="28"/>
      <c r="P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9"/>
    </row>
    <row r="417" spans="14:34" ht="12" customHeight="1" x14ac:dyDescent="0.2">
      <c r="N417" s="28"/>
      <c r="O417" s="28"/>
      <c r="P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9"/>
    </row>
    <row r="418" spans="14:34" ht="12" customHeight="1" x14ac:dyDescent="0.2">
      <c r="N418" s="28"/>
      <c r="O418" s="28"/>
      <c r="P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9"/>
    </row>
    <row r="419" spans="14:34" ht="12" customHeight="1" x14ac:dyDescent="0.2">
      <c r="N419" s="28"/>
      <c r="O419" s="28"/>
      <c r="P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9"/>
    </row>
    <row r="420" spans="14:34" ht="12" customHeight="1" x14ac:dyDescent="0.2">
      <c r="N420" s="28"/>
      <c r="O420" s="28"/>
      <c r="P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9"/>
    </row>
    <row r="421" spans="14:34" ht="12" customHeight="1" x14ac:dyDescent="0.2">
      <c r="N421" s="28"/>
      <c r="O421" s="28"/>
      <c r="P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9"/>
    </row>
    <row r="422" spans="14:34" ht="12" customHeight="1" x14ac:dyDescent="0.2">
      <c r="N422" s="28"/>
      <c r="O422" s="28"/>
      <c r="P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9"/>
    </row>
    <row r="423" spans="14:34" ht="12" customHeight="1" x14ac:dyDescent="0.2">
      <c r="N423" s="28"/>
      <c r="O423" s="28"/>
      <c r="P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9"/>
    </row>
    <row r="424" spans="14:34" ht="12" customHeight="1" x14ac:dyDescent="0.2">
      <c r="N424" s="28"/>
      <c r="O424" s="28"/>
      <c r="P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9"/>
    </row>
    <row r="425" spans="14:34" ht="12" customHeight="1" x14ac:dyDescent="0.2">
      <c r="N425" s="28"/>
      <c r="O425" s="28"/>
      <c r="P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9"/>
    </row>
    <row r="426" spans="14:34" ht="12" customHeight="1" x14ac:dyDescent="0.2">
      <c r="N426" s="28"/>
      <c r="O426" s="28"/>
      <c r="P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9"/>
    </row>
    <row r="427" spans="14:34" ht="12" customHeight="1" x14ac:dyDescent="0.2">
      <c r="N427" s="28"/>
      <c r="O427" s="28"/>
      <c r="P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9"/>
    </row>
    <row r="428" spans="14:34" ht="12" customHeight="1" x14ac:dyDescent="0.2">
      <c r="N428" s="28"/>
      <c r="O428" s="28"/>
      <c r="P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9"/>
    </row>
    <row r="429" spans="14:34" ht="12" customHeight="1" x14ac:dyDescent="0.2">
      <c r="N429" s="28"/>
      <c r="O429" s="28"/>
      <c r="P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9"/>
    </row>
    <row r="430" spans="14:34" ht="12" customHeight="1" x14ac:dyDescent="0.2">
      <c r="N430" s="28"/>
      <c r="O430" s="28"/>
      <c r="P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9"/>
    </row>
    <row r="431" spans="14:34" ht="12" customHeight="1" x14ac:dyDescent="0.2">
      <c r="N431" s="28"/>
      <c r="O431" s="28"/>
      <c r="P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9"/>
    </row>
    <row r="432" spans="14:34" ht="12" customHeight="1" x14ac:dyDescent="0.2">
      <c r="N432" s="28"/>
      <c r="O432" s="28"/>
      <c r="P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9"/>
    </row>
    <row r="433" spans="14:34" ht="12" customHeight="1" x14ac:dyDescent="0.2">
      <c r="N433" s="28"/>
      <c r="O433" s="28"/>
      <c r="P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9"/>
    </row>
    <row r="434" spans="14:34" ht="12" customHeight="1" x14ac:dyDescent="0.2">
      <c r="N434" s="28"/>
      <c r="O434" s="28"/>
      <c r="P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9"/>
    </row>
    <row r="435" spans="14:34" ht="12" customHeight="1" x14ac:dyDescent="0.2">
      <c r="N435" s="28"/>
      <c r="O435" s="28"/>
      <c r="P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9"/>
    </row>
    <row r="436" spans="14:34" ht="12" customHeight="1" x14ac:dyDescent="0.2">
      <c r="N436" s="28"/>
      <c r="O436" s="28"/>
      <c r="P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9"/>
    </row>
    <row r="437" spans="14:34" ht="12" customHeight="1" x14ac:dyDescent="0.2">
      <c r="N437" s="28"/>
      <c r="O437" s="28"/>
      <c r="P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9"/>
    </row>
    <row r="438" spans="14:34" ht="12" customHeight="1" x14ac:dyDescent="0.2">
      <c r="N438" s="28"/>
      <c r="O438" s="28"/>
      <c r="P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9"/>
    </row>
    <row r="439" spans="14:34" ht="12" customHeight="1" x14ac:dyDescent="0.2">
      <c r="N439" s="28"/>
      <c r="O439" s="28"/>
      <c r="P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9"/>
    </row>
    <row r="440" spans="14:34" ht="12" customHeight="1" x14ac:dyDescent="0.2">
      <c r="N440" s="28"/>
      <c r="O440" s="28"/>
      <c r="P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9"/>
    </row>
    <row r="441" spans="14:34" ht="12" customHeight="1" x14ac:dyDescent="0.2">
      <c r="N441" s="28"/>
      <c r="O441" s="28"/>
      <c r="P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9"/>
    </row>
    <row r="442" spans="14:34" ht="12" customHeight="1" x14ac:dyDescent="0.2">
      <c r="N442" s="28"/>
      <c r="O442" s="28"/>
      <c r="P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9"/>
    </row>
    <row r="443" spans="14:34" ht="12" customHeight="1" x14ac:dyDescent="0.2">
      <c r="N443" s="28"/>
      <c r="O443" s="28"/>
      <c r="P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9"/>
    </row>
    <row r="444" spans="14:34" ht="12" customHeight="1" x14ac:dyDescent="0.2">
      <c r="N444" s="28"/>
      <c r="O444" s="28"/>
      <c r="P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9"/>
    </row>
    <row r="445" spans="14:34" ht="12" customHeight="1" x14ac:dyDescent="0.2">
      <c r="N445" s="28"/>
      <c r="O445" s="28"/>
      <c r="P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9"/>
    </row>
    <row r="446" spans="14:34" ht="12" customHeight="1" x14ac:dyDescent="0.2">
      <c r="N446" s="28"/>
      <c r="O446" s="28"/>
      <c r="P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9"/>
    </row>
    <row r="447" spans="14:34" ht="12" customHeight="1" x14ac:dyDescent="0.2">
      <c r="N447" s="28"/>
      <c r="O447" s="28"/>
      <c r="P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9"/>
    </row>
    <row r="448" spans="14:34" ht="12" customHeight="1" x14ac:dyDescent="0.2">
      <c r="N448" s="28"/>
      <c r="O448" s="28"/>
      <c r="P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9"/>
    </row>
    <row r="449" spans="14:34" ht="12" customHeight="1" x14ac:dyDescent="0.2">
      <c r="N449" s="28"/>
      <c r="O449" s="28"/>
      <c r="P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9"/>
    </row>
    <row r="450" spans="14:34" ht="12" customHeight="1" x14ac:dyDescent="0.2">
      <c r="N450" s="28"/>
      <c r="O450" s="28"/>
      <c r="P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9"/>
    </row>
    <row r="451" spans="14:34" ht="12" customHeight="1" x14ac:dyDescent="0.2">
      <c r="N451" s="28"/>
      <c r="O451" s="28"/>
      <c r="P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9"/>
    </row>
    <row r="452" spans="14:34" ht="12" customHeight="1" x14ac:dyDescent="0.2">
      <c r="N452" s="28"/>
      <c r="O452" s="28"/>
      <c r="P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9"/>
    </row>
    <row r="453" spans="14:34" ht="12" customHeight="1" x14ac:dyDescent="0.2">
      <c r="N453" s="28"/>
      <c r="O453" s="28"/>
      <c r="P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9"/>
    </row>
    <row r="454" spans="14:34" ht="12" customHeight="1" x14ac:dyDescent="0.2">
      <c r="N454" s="28"/>
      <c r="O454" s="28"/>
      <c r="P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9"/>
    </row>
    <row r="455" spans="14:34" ht="12" customHeight="1" x14ac:dyDescent="0.2">
      <c r="N455" s="28"/>
      <c r="O455" s="28"/>
      <c r="P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9"/>
    </row>
    <row r="456" spans="14:34" ht="12" customHeight="1" x14ac:dyDescent="0.2">
      <c r="N456" s="28"/>
      <c r="O456" s="28"/>
      <c r="P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9"/>
    </row>
    <row r="457" spans="14:34" ht="12" customHeight="1" x14ac:dyDescent="0.2">
      <c r="N457" s="28"/>
      <c r="O457" s="28"/>
      <c r="P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9"/>
    </row>
    <row r="458" spans="14:34" ht="12" customHeight="1" x14ac:dyDescent="0.2">
      <c r="N458" s="28"/>
      <c r="O458" s="28"/>
      <c r="P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9"/>
    </row>
    <row r="459" spans="14:34" ht="12" customHeight="1" x14ac:dyDescent="0.2">
      <c r="N459" s="28"/>
      <c r="O459" s="28"/>
      <c r="P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9"/>
    </row>
    <row r="460" spans="14:34" ht="12" customHeight="1" x14ac:dyDescent="0.2">
      <c r="N460" s="28"/>
      <c r="O460" s="28"/>
      <c r="P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9"/>
    </row>
    <row r="461" spans="14:34" ht="12" customHeight="1" x14ac:dyDescent="0.2">
      <c r="N461" s="28"/>
      <c r="O461" s="28"/>
      <c r="P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9"/>
    </row>
    <row r="462" spans="14:34" ht="12" customHeight="1" x14ac:dyDescent="0.2">
      <c r="N462" s="28"/>
      <c r="O462" s="28"/>
      <c r="P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9"/>
    </row>
    <row r="463" spans="14:34" ht="12" customHeight="1" x14ac:dyDescent="0.2">
      <c r="N463" s="28"/>
      <c r="O463" s="28"/>
      <c r="P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9"/>
    </row>
    <row r="464" spans="14:34" ht="12" customHeight="1" x14ac:dyDescent="0.2">
      <c r="N464" s="28"/>
      <c r="O464" s="28"/>
      <c r="P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9"/>
    </row>
    <row r="465" spans="14:34" ht="12" customHeight="1" x14ac:dyDescent="0.2">
      <c r="N465" s="28"/>
      <c r="O465" s="28"/>
      <c r="P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9"/>
    </row>
    <row r="466" spans="14:34" ht="12" customHeight="1" x14ac:dyDescent="0.2">
      <c r="N466" s="28"/>
      <c r="O466" s="28"/>
      <c r="P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9"/>
    </row>
    <row r="467" spans="14:34" ht="12" customHeight="1" x14ac:dyDescent="0.2">
      <c r="N467" s="28"/>
      <c r="O467" s="28"/>
      <c r="P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9"/>
    </row>
    <row r="468" spans="14:34" ht="12" customHeight="1" x14ac:dyDescent="0.2">
      <c r="N468" s="28"/>
      <c r="O468" s="28"/>
      <c r="P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9"/>
    </row>
    <row r="469" spans="14:34" ht="12" customHeight="1" x14ac:dyDescent="0.2">
      <c r="N469" s="28"/>
      <c r="O469" s="28"/>
      <c r="P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9"/>
    </row>
    <row r="470" spans="14:34" ht="12" customHeight="1" x14ac:dyDescent="0.2">
      <c r="N470" s="28"/>
      <c r="O470" s="28"/>
      <c r="P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9"/>
    </row>
    <row r="471" spans="14:34" ht="12" customHeight="1" x14ac:dyDescent="0.2">
      <c r="N471" s="28"/>
      <c r="O471" s="28"/>
      <c r="P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9"/>
    </row>
    <row r="472" spans="14:34" ht="12" customHeight="1" x14ac:dyDescent="0.2">
      <c r="N472" s="28"/>
      <c r="O472" s="28"/>
      <c r="P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9"/>
    </row>
    <row r="473" spans="14:34" ht="12" customHeight="1" x14ac:dyDescent="0.2">
      <c r="N473" s="28"/>
      <c r="O473" s="28"/>
      <c r="P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9"/>
    </row>
    <row r="474" spans="14:34" ht="12" customHeight="1" x14ac:dyDescent="0.2">
      <c r="N474" s="28"/>
      <c r="O474" s="28"/>
      <c r="P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9"/>
    </row>
    <row r="475" spans="14:34" ht="12" customHeight="1" x14ac:dyDescent="0.2">
      <c r="N475" s="28"/>
      <c r="O475" s="28"/>
      <c r="P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9"/>
    </row>
    <row r="476" spans="14:34" ht="12" customHeight="1" x14ac:dyDescent="0.2">
      <c r="N476" s="28"/>
      <c r="O476" s="28"/>
      <c r="P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9"/>
    </row>
    <row r="477" spans="14:34" ht="12" customHeight="1" x14ac:dyDescent="0.2">
      <c r="N477" s="28"/>
      <c r="O477" s="28"/>
      <c r="P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9"/>
    </row>
    <row r="478" spans="14:34" ht="12" customHeight="1" x14ac:dyDescent="0.2">
      <c r="N478" s="28"/>
      <c r="O478" s="28"/>
      <c r="P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9"/>
    </row>
    <row r="479" spans="14:34" ht="12" customHeight="1" x14ac:dyDescent="0.2">
      <c r="N479" s="28"/>
      <c r="O479" s="28"/>
      <c r="P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9"/>
    </row>
    <row r="480" spans="14:34" ht="12" customHeight="1" x14ac:dyDescent="0.2">
      <c r="N480" s="28"/>
      <c r="O480" s="28"/>
      <c r="P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9"/>
    </row>
    <row r="481" spans="14:34" ht="12" customHeight="1" x14ac:dyDescent="0.2">
      <c r="N481" s="28"/>
      <c r="O481" s="28"/>
      <c r="P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9"/>
    </row>
    <row r="482" spans="14:34" ht="12" customHeight="1" x14ac:dyDescent="0.2">
      <c r="N482" s="28"/>
      <c r="O482" s="28"/>
      <c r="P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9"/>
    </row>
    <row r="483" spans="14:34" ht="12" customHeight="1" x14ac:dyDescent="0.2">
      <c r="N483" s="28"/>
      <c r="O483" s="28"/>
      <c r="P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9"/>
    </row>
    <row r="484" spans="14:34" ht="12" customHeight="1" x14ac:dyDescent="0.2">
      <c r="N484" s="28"/>
      <c r="O484" s="28"/>
      <c r="P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9"/>
    </row>
    <row r="485" spans="14:34" ht="12" customHeight="1" x14ac:dyDescent="0.2">
      <c r="N485" s="28"/>
      <c r="O485" s="28"/>
      <c r="P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9"/>
    </row>
    <row r="486" spans="14:34" ht="12" customHeight="1" x14ac:dyDescent="0.2">
      <c r="N486" s="28"/>
      <c r="O486" s="28"/>
      <c r="P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9"/>
    </row>
    <row r="487" spans="14:34" ht="12" customHeight="1" x14ac:dyDescent="0.2">
      <c r="N487" s="28"/>
      <c r="O487" s="28"/>
      <c r="P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9"/>
    </row>
    <row r="488" spans="14:34" ht="12" customHeight="1" x14ac:dyDescent="0.2">
      <c r="N488" s="28"/>
      <c r="O488" s="28"/>
      <c r="P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9"/>
    </row>
    <row r="489" spans="14:34" ht="12" customHeight="1" x14ac:dyDescent="0.2">
      <c r="N489" s="28"/>
      <c r="O489" s="28"/>
      <c r="P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9"/>
    </row>
  </sheetData>
  <phoneticPr fontId="0" type="noConversion"/>
  <printOptions horizontalCentered="1"/>
  <pageMargins left="0.19685039370078741" right="0.19685039370078741" top="0.19685039370078741" bottom="0.27559055118110237" header="0.11811023622047245" footer="0.23622047244094491"/>
  <pageSetup paperSize="5" scale="29" fitToHeight="0" orientation="landscape" r:id="rId1"/>
  <headerFooter alignWithMargins="0">
    <oddFooter>&amp;R&amp;P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047AEAC-D569-4152-9B46-8CF66E963FE2}">
          <x14:formula1>
            <xm:f>Catégorie!$A$1:$A$3</xm:f>
          </x14:formula1>
          <xm:sqref>H2:H61</xm:sqref>
        </x14:dataValidation>
        <x14:dataValidation type="list" allowBlank="1" showInputMessage="1" showErrorMessage="1" xr:uid="{E454ED30-15A3-42ED-8527-9AE97CC35BC2}">
          <x14:formula1>
            <xm:f>SALLES!$A$2:$A$40</xm:f>
          </x14:formula1>
          <xm:sqref>I2:I61</xm:sqref>
        </x14:dataValidation>
        <x14:dataValidation type="list" allowBlank="1" showInputMessage="1" showErrorMessage="1" xr:uid="{D90261FE-5F84-41AB-B381-4F978DE97DEF}">
          <x14:formula1>
            <xm:f>'SOMMAIRE PAR DÉPARTEMENTS'!$A$2:$A$16</xm:f>
          </x14:formula1>
          <xm:sqref>K2:K61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8582-A971-4028-873B-9DB836D3CA02}">
  <dimension ref="A1:A3"/>
  <sheetViews>
    <sheetView workbookViewId="0">
      <selection activeCell="M27" sqref="M27"/>
    </sheetView>
  </sheetViews>
  <sheetFormatPr baseColWidth="10" defaultRowHeight="12.75" x14ac:dyDescent="0.2"/>
  <sheetData>
    <row r="1" spans="1:1" x14ac:dyDescent="0.2">
      <c r="A1" t="s">
        <v>51</v>
      </c>
    </row>
    <row r="2" spans="1:1" x14ac:dyDescent="0.2">
      <c r="A2" t="s">
        <v>52</v>
      </c>
    </row>
    <row r="3" spans="1:1" x14ac:dyDescent="0.2">
      <c r="A3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7262-1659-4D4D-A8A2-B96E3CC488AE}">
  <dimension ref="A1:K415"/>
  <sheetViews>
    <sheetView zoomScale="130" zoomScaleNormal="130" workbookViewId="0">
      <selection activeCell="C20" sqref="C20"/>
    </sheetView>
  </sheetViews>
  <sheetFormatPr baseColWidth="10" defaultRowHeight="12.75" x14ac:dyDescent="0.2"/>
  <cols>
    <col min="1" max="1" width="51.28515625" style="20" customWidth="1"/>
  </cols>
  <sheetData>
    <row r="1" spans="1:2" x14ac:dyDescent="0.2">
      <c r="A1" s="37" t="s">
        <v>44</v>
      </c>
      <c r="B1" s="38" t="s">
        <v>45</v>
      </c>
    </row>
    <row r="2" spans="1:2" x14ac:dyDescent="0.2">
      <c r="A2" s="34" t="s">
        <v>33</v>
      </c>
      <c r="B2" s="39">
        <f>SUMIFS(ACTIVITÉS!L:L,ACTIVITÉS!K:K,'SOMMAIRE PAR DÉPARTEMENTS'!A2)</f>
        <v>0</v>
      </c>
    </row>
    <row r="3" spans="1:2" x14ac:dyDescent="0.2">
      <c r="A3" s="35" t="s">
        <v>32</v>
      </c>
      <c r="B3" s="39">
        <f>SUMIFS(ACTIVITÉS!L:L,ACTIVITÉS!K:K,'SOMMAIRE PAR DÉPARTEMENTS'!A3)</f>
        <v>0</v>
      </c>
    </row>
    <row r="4" spans="1:2" x14ac:dyDescent="0.2">
      <c r="A4" s="3" t="s">
        <v>2</v>
      </c>
      <c r="B4" s="39">
        <f>SUMIFS(ACTIVITÉS!L:L,ACTIVITÉS!K:K,'SOMMAIRE PAR DÉPARTEMENTS'!A4)</f>
        <v>0</v>
      </c>
    </row>
    <row r="5" spans="1:2" x14ac:dyDescent="0.2">
      <c r="A5" s="3" t="s">
        <v>29</v>
      </c>
      <c r="B5" s="39">
        <f>SUMIFS(ACTIVITÉS!L:L,ACTIVITÉS!K:K,'SOMMAIRE PAR DÉPARTEMENTS'!A5)</f>
        <v>0</v>
      </c>
    </row>
    <row r="6" spans="1:2" x14ac:dyDescent="0.2">
      <c r="A6" s="3" t="s">
        <v>28</v>
      </c>
      <c r="B6" s="39">
        <f>SUMIFS(ACTIVITÉS!L:L,ACTIVITÉS!K:K,'SOMMAIRE PAR DÉPARTEMENTS'!A6)</f>
        <v>0</v>
      </c>
    </row>
    <row r="7" spans="1:2" x14ac:dyDescent="0.2">
      <c r="A7" s="34" t="s">
        <v>15</v>
      </c>
      <c r="B7" s="39">
        <f>SUMIFS(ACTIVITÉS!L:L,ACTIVITÉS!K:K,'SOMMAIRE PAR DÉPARTEMENTS'!A7)</f>
        <v>0</v>
      </c>
    </row>
    <row r="8" spans="1:2" x14ac:dyDescent="0.2">
      <c r="A8" s="36" t="s">
        <v>30</v>
      </c>
      <c r="B8" s="39">
        <f>SUMIFS(ACTIVITÉS!L:L,ACTIVITÉS!K:K,'SOMMAIRE PAR DÉPARTEMENTS'!A8)</f>
        <v>0</v>
      </c>
    </row>
    <row r="9" spans="1:2" x14ac:dyDescent="0.2">
      <c r="A9" s="15" t="s">
        <v>34</v>
      </c>
      <c r="B9" s="39">
        <f>SUMIFS(ACTIVITÉS!L:L,ACTIVITÉS!K:K,'SOMMAIRE PAR DÉPARTEMENTS'!A9)</f>
        <v>0</v>
      </c>
    </row>
    <row r="10" spans="1:2" x14ac:dyDescent="0.2">
      <c r="A10" s="36" t="s">
        <v>27</v>
      </c>
      <c r="B10" s="39">
        <f>SUMIFS(ACTIVITÉS!L:L,ACTIVITÉS!K:K,'SOMMAIRE PAR DÉPARTEMENTS'!A10)</f>
        <v>0</v>
      </c>
    </row>
    <row r="11" spans="1:2" x14ac:dyDescent="0.2">
      <c r="A11" s="36" t="s">
        <v>47</v>
      </c>
      <c r="B11" s="39">
        <f>SUMIFS(ACTIVITÉS!L:L,ACTIVITÉS!K:K,'SOMMAIRE PAR DÉPARTEMENTS'!A11)</f>
        <v>0</v>
      </c>
    </row>
    <row r="12" spans="1:2" x14ac:dyDescent="0.2">
      <c r="A12" s="36" t="s">
        <v>48</v>
      </c>
      <c r="B12" s="39">
        <f>SUMIFS(ACTIVITÉS!L:L,ACTIVITÉS!K:K,'SOMMAIRE PAR DÉPARTEMENTS'!A12)</f>
        <v>0</v>
      </c>
    </row>
    <row r="13" spans="1:2" x14ac:dyDescent="0.2">
      <c r="A13" s="36" t="s">
        <v>49</v>
      </c>
      <c r="B13" s="39">
        <f>SUMIFS(ACTIVITÉS!L:L,ACTIVITÉS!K:K,'SOMMAIRE PAR DÉPARTEMENTS'!A13)</f>
        <v>0</v>
      </c>
    </row>
    <row r="14" spans="1:2" x14ac:dyDescent="0.2">
      <c r="A14" s="36" t="s">
        <v>55</v>
      </c>
      <c r="B14" s="39">
        <f>SUMIFS(ACTIVITÉS!L:L,ACTIVITÉS!K:K,'SOMMAIRE PAR DÉPARTEMENTS'!A14)</f>
        <v>0</v>
      </c>
    </row>
    <row r="15" spans="1:2" x14ac:dyDescent="0.2">
      <c r="A15" s="36" t="s">
        <v>56</v>
      </c>
      <c r="B15" s="39">
        <f>SUMIFS(ACTIVITÉS!L:L,ACTIVITÉS!K:K,'SOMMAIRE PAR DÉPARTEMENTS'!A15)</f>
        <v>0</v>
      </c>
    </row>
    <row r="16" spans="1:2" x14ac:dyDescent="0.2">
      <c r="A16" s="36"/>
      <c r="B16" s="39"/>
    </row>
    <row r="415" spans="11:11" x14ac:dyDescent="0.2">
      <c r="K415" s="1" t="s">
        <v>46</v>
      </c>
    </row>
  </sheetData>
  <sortState xmlns:xlrd2="http://schemas.microsoft.com/office/spreadsheetml/2017/richdata2" ref="A2:A3">
    <sortCondition ref="A1:A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BD17-2F89-4A10-A4C3-6F0E2CA7BC89}">
  <dimension ref="A1:G6"/>
  <sheetViews>
    <sheetView workbookViewId="0">
      <selection activeCell="B7" sqref="B7"/>
    </sheetView>
  </sheetViews>
  <sheetFormatPr baseColWidth="10" defaultRowHeight="12.75" x14ac:dyDescent="0.2"/>
  <cols>
    <col min="1" max="1" width="21" customWidth="1"/>
    <col min="2" max="2" width="20.85546875" customWidth="1"/>
    <col min="3" max="3" width="20" customWidth="1"/>
  </cols>
  <sheetData>
    <row r="1" spans="1:7" s="31" customFormat="1" x14ac:dyDescent="0.2">
      <c r="A1" s="31" t="s">
        <v>17</v>
      </c>
      <c r="B1" s="31" t="s">
        <v>38</v>
      </c>
      <c r="C1" s="31" t="s">
        <v>39</v>
      </c>
      <c r="G1" s="1" t="s">
        <v>43</v>
      </c>
    </row>
    <row r="2" spans="1:7" x14ac:dyDescent="0.2">
      <c r="A2" t="s">
        <v>18</v>
      </c>
      <c r="B2">
        <v>175</v>
      </c>
    </row>
    <row r="3" spans="1:7" x14ac:dyDescent="0.2">
      <c r="A3" s="1" t="s">
        <v>20</v>
      </c>
      <c r="B3">
        <v>50</v>
      </c>
      <c r="C3">
        <v>100</v>
      </c>
    </row>
    <row r="4" spans="1:7" x14ac:dyDescent="0.2">
      <c r="A4" s="1" t="s">
        <v>40</v>
      </c>
      <c r="B4">
        <v>200</v>
      </c>
    </row>
    <row r="5" spans="1:7" x14ac:dyDescent="0.2">
      <c r="A5" t="s">
        <v>19</v>
      </c>
      <c r="B5">
        <f>200+175</f>
        <v>375</v>
      </c>
    </row>
    <row r="6" spans="1:7" x14ac:dyDescent="0.2">
      <c r="A6" s="1" t="s">
        <v>14</v>
      </c>
      <c r="B6" s="33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26C6-8DD5-4BC7-B517-685B7296A275}">
  <dimension ref="A1:A3"/>
  <sheetViews>
    <sheetView workbookViewId="0">
      <selection activeCell="E16" sqref="E16"/>
    </sheetView>
  </sheetViews>
  <sheetFormatPr baseColWidth="10" defaultRowHeight="12.75" x14ac:dyDescent="0.2"/>
  <sheetData>
    <row r="1" spans="1:1" x14ac:dyDescent="0.2">
      <c r="A1" t="s">
        <v>35</v>
      </c>
    </row>
    <row r="2" spans="1:1" x14ac:dyDescent="0.2">
      <c r="A2" t="s">
        <v>36</v>
      </c>
    </row>
    <row r="3" spans="1:1" x14ac:dyDescent="0.2">
      <c r="A3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4432-C217-4EBD-BA37-41EE6819DFD2}">
  <dimension ref="A1:B6"/>
  <sheetViews>
    <sheetView workbookViewId="0">
      <selection activeCell="B7" sqref="B7"/>
    </sheetView>
  </sheetViews>
  <sheetFormatPr baseColWidth="10" defaultRowHeight="12.75" x14ac:dyDescent="0.2"/>
  <cols>
    <col min="1" max="1" width="24.28515625" customWidth="1"/>
    <col min="2" max="2" width="18.85546875" customWidth="1"/>
  </cols>
  <sheetData>
    <row r="1" spans="1:2" x14ac:dyDescent="0.2">
      <c r="A1" s="1" t="s">
        <v>21</v>
      </c>
      <c r="B1" s="1" t="s">
        <v>3</v>
      </c>
    </row>
    <row r="2" spans="1:2" x14ac:dyDescent="0.2">
      <c r="A2" s="1" t="s">
        <v>24</v>
      </c>
      <c r="B2" s="1" t="s">
        <v>25</v>
      </c>
    </row>
    <row r="3" spans="1:2" x14ac:dyDescent="0.2">
      <c r="A3" s="1" t="s">
        <v>4</v>
      </c>
      <c r="B3" s="1" t="s">
        <v>5</v>
      </c>
    </row>
    <row r="4" spans="1:2" x14ac:dyDescent="0.2">
      <c r="A4" s="1"/>
      <c r="B4" s="1"/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ACTIVITÉS</vt:lpstr>
      <vt:lpstr>Interne-Externe</vt:lpstr>
      <vt:lpstr>SOMMAIRE PAR DÉPARTEMENTS</vt:lpstr>
      <vt:lpstr>SALLES</vt:lpstr>
      <vt:lpstr>Catégorie</vt:lpstr>
      <vt:lpstr>Notes</vt:lpstr>
      <vt:lpstr>ACTIVITÉS!Impression_des_titres</vt:lpstr>
    </vt:vector>
  </TitlesOfParts>
  <Company>Cégep de Jonquière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Lessard</dc:creator>
  <cp:lastModifiedBy>Marie-Ève Bouchard</cp:lastModifiedBy>
  <cp:lastPrinted>2026-04-15T15:39:05Z</cp:lastPrinted>
  <dcterms:created xsi:type="dcterms:W3CDTF">2003-05-05T18:08:31Z</dcterms:created>
  <dcterms:modified xsi:type="dcterms:W3CDTF">2026-07-02T17:41:02Z</dcterms:modified>
</cp:coreProperties>
</file>