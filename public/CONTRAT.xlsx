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imla\Downloads\"/>
    </mc:Choice>
  </mc:AlternateContent>
  <xr:revisionPtr revIDLastSave="0" documentId="13_ncr:1_{FB45D5A0-E545-4CA6-B074-38BBD1593A77}" xr6:coauthVersionLast="47" xr6:coauthVersionMax="47" xr10:uidLastSave="{00000000-0000-0000-0000-000000000000}"/>
  <bookViews>
    <workbookView xWindow="28680" yWindow="-120" windowWidth="29040" windowHeight="15720" activeTab="1" xr2:uid="{D03874C5-89B7-418D-9348-7AE9D78E11A6}"/>
  </bookViews>
  <sheets>
    <sheet name="Salles et plateaux" sheetId="7" r:id="rId1"/>
    <sheet name="Salle poly et SFB" sheetId="4" r:id="rId2"/>
  </sheets>
  <definedNames>
    <definedName name="_xlnm.Print_Area" localSheetId="1">'Salle poly et SFB'!$A$1:$J$142</definedName>
    <definedName name="_xlnm.Print_Area" localSheetId="0">'Salles et plateaux'!$A$1:$J$150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0" i="7" l="1"/>
  <c r="G61" i="7"/>
  <c r="G73" i="7"/>
  <c r="G72" i="7"/>
  <c r="G71" i="7"/>
  <c r="G70" i="7"/>
  <c r="G69" i="7"/>
  <c r="G68" i="7"/>
  <c r="G67" i="7"/>
  <c r="G66" i="7"/>
  <c r="G65" i="7"/>
  <c r="G64" i="7"/>
  <c r="G62" i="7"/>
  <c r="G59" i="7"/>
  <c r="G58" i="7"/>
  <c r="G57" i="7"/>
  <c r="G56" i="7"/>
  <c r="G55" i="7"/>
  <c r="G54" i="7"/>
  <c r="G53" i="7"/>
  <c r="G51" i="7"/>
  <c r="G50" i="7"/>
  <c r="G74" i="7" s="1"/>
  <c r="G54" i="4"/>
  <c r="G55" i="4"/>
  <c r="G56" i="4"/>
  <c r="G57" i="4"/>
  <c r="G58" i="4"/>
  <c r="G59" i="4"/>
  <c r="G60" i="4"/>
  <c r="G61" i="4"/>
  <c r="G62" i="4"/>
  <c r="G63" i="4"/>
  <c r="G76" i="7" l="1"/>
  <c r="G75" i="7"/>
  <c r="G77" i="7" l="1"/>
  <c r="B81" i="7" s="1"/>
  <c r="G50" i="4" l="1"/>
  <c r="G48" i="4"/>
  <c r="G47" i="4"/>
  <c r="G46" i="4"/>
  <c r="G43" i="4"/>
  <c r="G42" i="4"/>
  <c r="G49" i="4" l="1"/>
  <c r="G51" i="4"/>
  <c r="G52" i="4"/>
  <c r="G45" i="4"/>
  <c r="G64" i="4" s="1"/>
  <c r="G65" i="4" l="1"/>
  <c r="G66" i="4" l="1"/>
  <c r="G67" i="4" l="1"/>
  <c r="B71" i="4" s="1"/>
</calcChain>
</file>

<file path=xl/sharedStrings.xml><?xml version="1.0" encoding="utf-8"?>
<sst xmlns="http://schemas.openxmlformats.org/spreadsheetml/2006/main" count="307" uniqueCount="167">
  <si>
    <t>Adresse de facturation</t>
  </si>
  <si>
    <t>Téléphone</t>
  </si>
  <si>
    <t>Adresse courriel</t>
  </si>
  <si>
    <t>Date de la réservation</t>
  </si>
  <si>
    <t>Nom de la salle
Numéro de la salle</t>
  </si>
  <si>
    <t>TOTAL</t>
  </si>
  <si>
    <t>Taux horaire ($)</t>
  </si>
  <si>
    <t xml:space="preserve"> 
</t>
  </si>
  <si>
    <t xml:space="preserve">Clause 1 </t>
  </si>
  <si>
    <t>Clause 2</t>
  </si>
  <si>
    <t>Clause 3</t>
  </si>
  <si>
    <t>Clause 4</t>
  </si>
  <si>
    <t>Clause 5</t>
  </si>
  <si>
    <t>Clause 6</t>
  </si>
  <si>
    <t>Clause 7</t>
  </si>
  <si>
    <t>Clause 8</t>
  </si>
  <si>
    <t>Clause 9</t>
  </si>
  <si>
    <t>Clause 10</t>
  </si>
  <si>
    <t>Clause 11</t>
  </si>
  <si>
    <t>Clause 12</t>
  </si>
  <si>
    <t>Clause 13</t>
  </si>
  <si>
    <t>Clause 15</t>
  </si>
  <si>
    <t>Clause 16</t>
  </si>
  <si>
    <t>Clause 17</t>
  </si>
  <si>
    <t>TVQ</t>
  </si>
  <si>
    <t>Sous-total</t>
  </si>
  <si>
    <t>Clause 18</t>
  </si>
  <si>
    <t>Clause 19</t>
  </si>
  <si>
    <t>Clause 20</t>
  </si>
  <si>
    <t>Clause 21</t>
  </si>
  <si>
    <t>Clause 22</t>
  </si>
  <si>
    <t>Clause 23</t>
  </si>
  <si>
    <t>Date:</t>
  </si>
  <si>
    <t>Je confirme avoir pris connaissance des actions à faire en cas d'urgence, expliqué dans le prochain lien: https://www.cegepjonquiere.ca/situations-d-urgence.html</t>
  </si>
  <si>
    <t>Adresse, ville, code postal</t>
  </si>
  <si>
    <t>Je confirme avoir envoyé une attestation d'assurance responsabilité civile</t>
  </si>
  <si>
    <t>Identification du client</t>
  </si>
  <si>
    <t>Numéro d'Entreprise du Québec (NEQ)</t>
  </si>
  <si>
    <t>Nom Prénom du responsable de la facturation</t>
  </si>
  <si>
    <t>Nom Prénom du responsable de l'activité</t>
  </si>
  <si>
    <t>TPS</t>
  </si>
  <si>
    <t>Information du fournisseur</t>
  </si>
  <si>
    <t>Nom de l'organisme</t>
  </si>
  <si>
    <t>Cégep de Jonquière</t>
  </si>
  <si>
    <t>Nom et prénom du responsable</t>
  </si>
  <si>
    <t>Clause 14</t>
  </si>
  <si>
    <t>̊</t>
  </si>
  <si>
    <t xml:space="preserve">N ̊   de contrat </t>
  </si>
  <si>
    <t>N ̊  de client</t>
  </si>
  <si>
    <t>N ̊  de bon de commande (si nécessaire)</t>
  </si>
  <si>
    <t>Clause 24</t>
  </si>
  <si>
    <t>Clause 25</t>
  </si>
  <si>
    <t>Signature:</t>
  </si>
  <si>
    <t>Client</t>
  </si>
  <si>
    <t>Taux journalier ($)</t>
  </si>
  <si>
    <t>Parterre (750  places assises)</t>
  </si>
  <si>
    <t>Parterre séparé (330 places assises)</t>
  </si>
  <si>
    <t>Balcon (150 places assises)</t>
  </si>
  <si>
    <t>Salle Koyote (Loge) - 321.2</t>
  </si>
  <si>
    <t>Salle François Brassard - 329.1</t>
  </si>
  <si>
    <t>Petit salon (50 places assises) - 326.1</t>
  </si>
  <si>
    <t>Billetterie - 320.1</t>
  </si>
  <si>
    <t>Salle polyvalente - 200.2</t>
  </si>
  <si>
    <t>Hall de la salle ( 150 à 200 places assises/ 900 places debout) - 341.1</t>
  </si>
  <si>
    <t>Nombre</t>
  </si>
  <si>
    <t>Date et heure</t>
  </si>
  <si>
    <t>Note</t>
  </si>
  <si>
    <t>Sécurité</t>
  </si>
  <si>
    <t>Supervision salle*</t>
  </si>
  <si>
    <t>Montant</t>
  </si>
  <si>
    <t>N ̊   d'encaissement</t>
  </si>
  <si>
    <t>Gymnase - 249.1</t>
  </si>
  <si>
    <t>Salle de combat - 210.1</t>
  </si>
  <si>
    <t>Salle de danse 221.2</t>
  </si>
  <si>
    <t>Terrain synthétique - EDU.1</t>
  </si>
  <si>
    <t>Salle de conditionnement - 222.1</t>
  </si>
  <si>
    <t>Piscine - 261.1</t>
  </si>
  <si>
    <t>Salle de classe - Variable</t>
  </si>
  <si>
    <t>Hall de la salle François Brassard - 341.1</t>
  </si>
  <si>
    <t>Cantine PLG (à partir de 14h) - CANPLG</t>
  </si>
  <si>
    <t>Salle de musique - 301.1</t>
  </si>
  <si>
    <t>Détail de la réservation</t>
  </si>
  <si>
    <t>Cafétéria (à partir de 14h) - 120.2</t>
  </si>
  <si>
    <t>Salle complète (200 places assises, 350 places debout)
(chaise comprise)</t>
  </si>
  <si>
    <t>Nombre de jours</t>
  </si>
  <si>
    <t>#Taxe TVQ/ #Taxe TPS</t>
  </si>
  <si>
    <t>Initiales:</t>
  </si>
  <si>
    <t>Pas perdus (à partir de 14h) - 201.2</t>
  </si>
  <si>
    <t>Hôte·sse au cocktail</t>
  </si>
  <si>
    <t>Clause d'annulation et de paiement</t>
  </si>
  <si>
    <t>*  Lors d'une pratique ou d'une générale, aucun public n'est autorisé, incluant les parents.
*Si vous souhaitez organiser un spectacle, veuillez fournir toutes les informations détaillées de l'évènement, dont les besoins techniques</t>
  </si>
  <si>
    <t xml:space="preserve">Installation et démontage </t>
  </si>
  <si>
    <t>TOTAL contrat</t>
  </si>
  <si>
    <t>Ghislain Lapierre</t>
  </si>
  <si>
    <t>418-547-2191 poste 6232</t>
  </si>
  <si>
    <t>servicescommunautaires@cegepjonquiere.ca</t>
  </si>
  <si>
    <r>
      <rPr>
        <b/>
        <sz val="16"/>
        <color theme="1"/>
        <rFont val="Aptos Narrow"/>
        <family val="2"/>
        <scheme val="minor"/>
      </rPr>
      <t xml:space="preserve">Entracte </t>
    </r>
    <r>
      <rPr>
        <i/>
        <sz val="14"/>
        <color theme="1"/>
        <rFont val="Aptos Narrow"/>
        <family val="2"/>
        <scheme val="minor"/>
      </rPr>
      <t>(Si applicable, préciser la durée approximative)</t>
    </r>
  </si>
  <si>
    <r>
      <rPr>
        <b/>
        <sz val="16"/>
        <color theme="1"/>
        <rFont val="Aptos Narrow"/>
        <family val="2"/>
        <scheme val="minor"/>
      </rPr>
      <t xml:space="preserve">Heure d'occupation des lieux </t>
    </r>
    <r>
      <rPr>
        <i/>
        <sz val="14"/>
        <color theme="1"/>
        <rFont val="Aptos Narrow"/>
        <family val="2"/>
        <scheme val="minor"/>
      </rPr>
      <t>(Si l’occupation dépasse la plage horaire de 7h45 à 22h30, veuillez nous en informer à l’avance. Des frais supplémentaires s’appliquent)</t>
    </r>
  </si>
  <si>
    <r>
      <rPr>
        <b/>
        <sz val="16"/>
        <color theme="1"/>
        <rFont val="Aptos Narrow"/>
        <family val="2"/>
        <scheme val="minor"/>
      </rPr>
      <t xml:space="preserve">Heure de l'activité </t>
    </r>
    <r>
      <rPr>
        <i/>
        <sz val="14"/>
        <color theme="1"/>
        <rFont val="Aptos Narrow"/>
        <family val="2"/>
        <scheme val="minor"/>
      </rPr>
      <t>(Si l'activité se déroule en dehors de la plage horaire de 7h45 à 22h30, veuillez nous en informer à l’avance. Des frais supplémentaires s’appliquent)</t>
    </r>
  </si>
  <si>
    <r>
      <t xml:space="preserve">Titre de l'activité </t>
    </r>
    <r>
      <rPr>
        <i/>
        <sz val="14"/>
        <color theme="1"/>
        <rFont val="Aptos Narrow"/>
        <family val="2"/>
        <scheme val="minor"/>
      </rPr>
      <t>(Nom  de l’événement)</t>
    </r>
  </si>
  <si>
    <r>
      <rPr>
        <b/>
        <sz val="16"/>
        <color theme="1"/>
        <rFont val="Aptos Narrow"/>
        <family val="2"/>
        <scheme val="minor"/>
      </rPr>
      <t xml:space="preserve">Description de l'activité </t>
    </r>
    <r>
      <rPr>
        <sz val="16"/>
        <color theme="1"/>
        <rFont val="Aptos Narrow"/>
        <family val="2"/>
        <scheme val="minor"/>
      </rPr>
      <t xml:space="preserve">
</t>
    </r>
    <r>
      <rPr>
        <i/>
        <sz val="14"/>
        <color theme="1"/>
        <rFont val="Aptos Narrow"/>
        <family val="2"/>
        <scheme val="minor"/>
      </rPr>
      <t>(Préciser s’il s’agit d’une pratique, d’une répétition générale, d’un spectacle ou autre type d’activité)</t>
    </r>
  </si>
  <si>
    <t xml:space="preserve">Nombre de personnes prévu </t>
  </si>
  <si>
    <t>Début activité</t>
  </si>
  <si>
    <t>Fin activité</t>
  </si>
  <si>
    <t>Début entracte</t>
  </si>
  <si>
    <t>Fin entracte</t>
  </si>
  <si>
    <t>Début occupation lieux</t>
  </si>
  <si>
    <t>Fin occupation lieux</t>
  </si>
  <si>
    <r>
      <t xml:space="preserve">Services divers et Main-d'œuvre* 
</t>
    </r>
    <r>
      <rPr>
        <b/>
        <sz val="14"/>
        <color theme="1"/>
        <rFont val="Aptos Narrow"/>
        <family val="2"/>
        <scheme val="minor"/>
      </rPr>
      <t>*Exclusif à la salle François Brassard</t>
    </r>
  </si>
  <si>
    <t>RABAIS ESPACE</t>
  </si>
  <si>
    <t>Facturation</t>
  </si>
  <si>
    <t>Direction technique</t>
  </si>
  <si>
    <r>
      <t xml:space="preserve">Technicien·ne généraliste contractuel </t>
    </r>
    <r>
      <rPr>
        <sz val="16"/>
        <color rgb="FFFF0000"/>
        <rFont val="Aptos Narrow"/>
        <family val="2"/>
        <scheme val="minor"/>
      </rPr>
      <t>(interne seulement)</t>
    </r>
  </si>
  <si>
    <r>
      <t xml:space="preserve">Appariteur·trice régie technique </t>
    </r>
    <r>
      <rPr>
        <sz val="16"/>
        <color rgb="FFFF0000"/>
        <rFont val="Aptos Narrow"/>
        <family val="2"/>
        <scheme val="minor"/>
      </rPr>
      <t>(interne seulement)</t>
    </r>
  </si>
  <si>
    <t>Hôte·sse porte*</t>
  </si>
  <si>
    <t>Hôte·sse pour vestiaire et/ou cocktail</t>
  </si>
  <si>
    <t>Appariteur·rice montage/démontage</t>
  </si>
  <si>
    <t xml:space="preserve">Manœuvre </t>
  </si>
  <si>
    <t>Consommations</t>
  </si>
  <si>
    <r>
      <rPr>
        <b/>
        <sz val="14"/>
        <color theme="1"/>
        <rFont val="Aptos Narrow"/>
        <family val="2"/>
        <scheme val="minor"/>
      </rPr>
      <t>Paiement anticipé</t>
    </r>
    <r>
      <rPr>
        <sz val="14"/>
        <color theme="1"/>
        <rFont val="Aptos Narrow"/>
        <family val="2"/>
        <scheme val="minor"/>
      </rPr>
      <t xml:space="preserve">
Un acompte équivalant à 50 % des coûts estimés est exigible 30 jours avant la date de l’évènement. À défaut de réception de ce paiement dans les délais, la réservation sera automatiquement annulée sans préavis.
</t>
    </r>
    <r>
      <rPr>
        <b/>
        <sz val="14"/>
        <color theme="1"/>
        <rFont val="Aptos Narrow"/>
        <family val="2"/>
        <scheme val="minor"/>
      </rPr>
      <t>Frais d’annulation</t>
    </r>
    <r>
      <rPr>
        <sz val="14"/>
        <color theme="1"/>
        <rFont val="Aptos Narrow"/>
        <family val="2"/>
        <scheme val="minor"/>
      </rPr>
      <t xml:space="preserve">
En cas d’annulation par le client, les frais suivants seront facturés en fonction de la date de notification écrite de l’annulation :
- 31 jours ouvrables et plus avant l'activité : 25% du montant total
- 30 jours ouvrables avant l'activité : 50 % du montant total 
- 15 jours ouvrables ou moins avant l'activité : 100 % du montant total
</t>
    </r>
    <r>
      <rPr>
        <b/>
        <sz val="14"/>
        <color theme="1"/>
        <rFont val="Aptos Narrow"/>
        <family val="2"/>
        <scheme val="minor"/>
      </rPr>
      <t xml:space="preserve">Solde final
</t>
    </r>
    <r>
      <rPr>
        <sz val="14"/>
        <color theme="1"/>
        <rFont val="Aptos Narrow"/>
        <family val="2"/>
        <scheme val="minor"/>
      </rPr>
      <t>Le solde de la facture est payable sur réception, sauf entente contraire convenue par écrit entre les parties.</t>
    </r>
  </si>
  <si>
    <t>Clause 26</t>
  </si>
  <si>
    <t>Clauses de location - au contrat</t>
  </si>
  <si>
    <t>Le locataire n’est pas autorisé à utiliser l’image du Cégep de Jonquière à des fins publicitaires ou dans toute autre forme de communication.</t>
  </si>
  <si>
    <t>Le Cégep de Jonquière n’est en aucun cas affilié aux activités du locataire. Il est donc interdit d’utiliser son nom dans toute communication, qu’elle soit écrite ou verbale. Seuls le nom de la salle et l’adresse civique peuvent être mentionnés pour indiquer le lieu de l’activité.</t>
  </si>
  <si>
    <t>Une exception à la clause 2 s’applique uniquement aux projets réalisés en partenariat officiel avec le Cégep de Jonquière.</t>
  </si>
  <si>
    <t>Le locataire doit remettre les lieux loués dans le même état qu’à leur prise de possession.</t>
  </si>
  <si>
    <t>Le locataire est responsable de tout dommage causé à la propriété ou à autrui par lui-même, ses représentants, les participants ou tout tiers, et s’engage à indemniser le Cégep de Jonquière en conséquence.</t>
  </si>
  <si>
    <t>Le Cégep de Jonquière se réserve le droit de vérifier la nature de l’activité mentionnée dans la demande de location.</t>
  </si>
  <si>
    <t>Le Cégep peut émettre des directives aux locataires, qui sont tenus de les respecter. Par exemple, il peut exiger la tenue d’un registre des inscriptions et sa transmission.</t>
  </si>
  <si>
    <t>Le locataire s’engage à respecter les lois et règlements en vigueur (fédéraux, provinciaux et municipaux) et à obtenir tous les permis nécessaires à la tenue de son activité.</t>
  </si>
  <si>
    <t>Les politiques et règlements du Cégep doivent être respectés par le locataire, ses représentants, les participants et tout tiers impliqué. En cas de non-respect, le Cégep peut résilier le contrat sans préavis. Ces documents sont disponibles sur le site officiel : https://www.cegepjonquiere.ca/politiques-et-reglements.html</t>
  </si>
  <si>
    <t>Le Cégep de Jonquière peut résilier le contrat si les paiements ne sont pas effectués selon les modalités convenues.</t>
  </si>
  <si>
    <t>Des frais d’administration de 50 $ seront ajoutés pour tout chèque retourné pour provision insuffisante.</t>
  </si>
  <si>
    <t>Les factures sont payables dès leur réception.</t>
  </si>
  <si>
    <t>Toute utilisation non conforme à la demande de réservation ou au contrat, toute sous-location ou cession à un tiers peut entraîner l’annulation immédiate du contrat sans remboursement du dépôt, le cas échéant.</t>
  </si>
  <si>
    <t>Le Cégep se réserve le droit d’annuler toute location qui pourrait nuire au bon déroulement des activités étudiantes.</t>
  </si>
  <si>
    <t>En cas d’intempéries, le locataire doit vérifier sur le site du Cégep si l’établissement est ouvert.</t>
  </si>
  <si>
    <t>Les paiements doivent être effectués par carte ou par chèque. Les paiements en argent comptant ne sont pas acceptés.</t>
  </si>
  <si>
    <t>Toutes les mesures sanitaires exigées par la santé publique et le Cégep doivent être respectées. En cas de non-respect, le contrat peut être résilié sans préavis ni remboursement.</t>
  </si>
  <si>
    <t>Le locataire est responsable de tout dommage causé par lui-même, ses employés, agents, représentants ou sous-traitants pendant la durée du contrat, y compris en cas de manquement à ses engagements.</t>
  </si>
  <si>
    <t>Le locataire s’engage à indemniser et défendre le Cégep, ses dirigeants, employés et représentants contre toute réclamation ou poursuite liée à des dommages causés, incluant les infractions à la Loi sur la santé publique (chapitre S-2.2).</t>
  </si>
  <si>
    <t>Le locataire doit fournir une attestation d’assurance au Cégep au moins 20 jours ouvrables avant l’activité.</t>
  </si>
  <si>
    <t>Le Cégep peut résilier le contrat si le comportement du locataire, de ses représentants ou des participants compromet la sécurité physique ou psychologique des personnes présentes, ou va à l’encontre des valeurs de l’établissement.</t>
  </si>
  <si>
    <t>Pour tout événement comportant une prestation musicale, la gestion des droits d’auteur (ex. SOCAN) relève entièrement du responsable de l’activité ou du producteur. Le Cégep ne peut être tenu responsable à cet égard.</t>
  </si>
  <si>
    <t>Communication et image</t>
  </si>
  <si>
    <t>Utilisation des lieux</t>
  </si>
  <si>
    <t>Paiement et frais</t>
  </si>
  <si>
    <t>Responsabilités et assurances</t>
  </si>
  <si>
    <t>Règlements et conformité</t>
  </si>
  <si>
    <t>Services techniques et obligations liées aux droits d'auteur</t>
  </si>
  <si>
    <t>Le coût de la location inclut l’usage du local ainsi que du mobilier permanent qui s’y trouve. Toute demande d’équipement supplémentaire (ex. : matériel audiovisuel, mobilier additionnel, etc.) est à la charge du locataire et doit être approuvée par le Cégep de Jonquière.</t>
  </si>
  <si>
    <t>En cas de force majeure, le Cégep de Jonquière peut mettre fin à la location sur simple avis au locataire. Dans une telle situation, un remboursement de l’acompte versé pourra être envisagé, selon l’évaluation du contexte et des frais déjà engagés.</t>
  </si>
  <si>
    <t>Fournisseur</t>
  </si>
  <si>
    <t>Sauveteur·se</t>
  </si>
  <si>
    <t>Ciassier·ière piscine</t>
  </si>
  <si>
    <t>Directeur technique</t>
  </si>
  <si>
    <t>Appariteur·trice gymnase/ Montage et démontage</t>
  </si>
  <si>
    <t>Entretien ménager</t>
  </si>
  <si>
    <r>
      <t xml:space="preserve">La location de la Salle François-Brassard ou la Salle Polyvalente comprend les services du directeur technique (DT) attitré à la salle, qui accompagne le locataire dans la coordination des aspects techniques de l’événement. Le locataire est invité à communiquer directement avec les compagnies spécialisées (sonorisation, éclairage, vidéo, etc.) afin d’obtenir des soumissions et de choisir les fournisseurs avec lesquels il souhaite collaborer.
Afin d’assurer une organisation fluide et efficace, les éléments suivants doivent être respectés :
- Le nom de la compagnie ou du personnel spécialisé retenu doit être transmis au Cégep de Jonquière au moins 30 jours ouvrables avant l’événement à l'adresse suivante : </t>
    </r>
    <r>
      <rPr>
        <b/>
        <sz val="16"/>
        <color theme="1"/>
        <rFont val="Aptos Narrow"/>
        <family val="2"/>
        <scheme val="minor"/>
      </rPr>
      <t>remihould@cegepjonquiere.ca</t>
    </r>
    <r>
      <rPr>
        <sz val="16"/>
        <color theme="1"/>
        <rFont val="Aptos Narrow"/>
        <family val="2"/>
        <scheme val="minor"/>
      </rPr>
      <t xml:space="preserve">
- Une rencontre ou un échange doit avoir lieu entre le directeur technique et le fournisseur ou technicien embauché, afin de finaliser les aspects techniques et logistiques de l’événement.</t>
    </r>
  </si>
  <si>
    <t>https://www.cegepjonquiere.ca/situations-d-urgence.html</t>
  </si>
  <si>
    <t>Signature :</t>
  </si>
  <si>
    <t>Rébecca Audy, gestionnaire administrative des services communautaires</t>
  </si>
  <si>
    <t>2505 rue Saint-Hubert, 
G7X 7W2, Jonquière, QC</t>
  </si>
  <si>
    <t>Ghislain Lapierre, technicien administratif</t>
  </si>
  <si>
    <t xml:space="preserve">Le locataire accepte de payer tous les frais additionnels liés à la location, y compris ceux non prévus au contrat initial. Les coûts présentés dans le présent contrat sont fournis à titre estimatif et pourront être ajustés en fonction des besoins réels et spécifiques de l’événement. </t>
  </si>
  <si>
    <t>Marie-Ève Bouchard</t>
  </si>
  <si>
    <t>Marie-Ève Bouchard, technicienne en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</si>
</sst>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 #,##0.00_)\ &quot;$&quot;_ ;_ * \(#,##0.00\)\ &quot;$&quot;_ ;_ * &quot;-&quot;??_)\ &quot;$&quot;_ ;_ @_ "/>
    <numFmt numFmtId="164" formatCode="0.000%"/>
  </numFmts>
  <fonts count="19" x14ac:knownFonts="1">
    <font>
      <sz val="11"/>
      <color theme="1"/>
      <name val="Aptos Narrow"/>
      <family val="2"/>
      <scheme val="minor"/>
    </font>
    <font>
      <sz val="11"/>
      <color theme="1"/>
      <name val="Aptos Narrow"/>
      <family val="2"/>
      <scheme val="minor"/>
    </font>
    <font>
      <sz val="14"/>
      <color theme="1"/>
      <name val="Aptos Narrow"/>
      <family val="2"/>
      <scheme val="minor"/>
    </font>
    <font>
      <b/>
      <sz val="16"/>
      <color theme="1"/>
      <name val="Aptos Narrow"/>
      <family val="2"/>
      <scheme val="minor"/>
    </font>
    <font>
      <b/>
      <sz val="14"/>
      <color theme="1"/>
      <name val="Aptos Narrow"/>
      <family val="2"/>
      <scheme val="minor"/>
    </font>
    <font>
      <sz val="16"/>
      <color theme="1"/>
      <name val="Aptos Narrow"/>
      <family val="2"/>
      <scheme val="minor"/>
    </font>
    <font>
      <sz val="12"/>
      <color theme="1" tint="0.499984740745262"/>
      <name val="Aptos Narrow"/>
      <family val="2"/>
      <scheme val="minor"/>
    </font>
    <font>
      <b/>
      <sz val="18"/>
      <color theme="1"/>
      <name val="Aptos Narrow"/>
      <family val="2"/>
      <scheme val="minor"/>
    </font>
    <font>
      <b/>
      <sz val="20"/>
      <color theme="1"/>
      <name val="Aptos Narrow"/>
      <family val="2"/>
      <scheme val="minor"/>
    </font>
    <font>
      <sz val="12"/>
      <color theme="0" tint="-0.499984740745262"/>
      <name val="Aptos Narrow"/>
      <family val="2"/>
      <scheme val="minor"/>
    </font>
    <font>
      <sz val="11"/>
      <color theme="1"/>
      <name val="Aptos Narrow"/>
      <family val="2"/>
    </font>
    <font>
      <sz val="11"/>
      <color theme="0"/>
      <name val="Aptos Narrow"/>
      <family val="2"/>
      <scheme val="minor"/>
    </font>
    <font>
      <u/>
      <sz val="11"/>
      <color theme="10"/>
      <name val="Aptos Narrow"/>
      <family val="2"/>
      <scheme val="minor"/>
    </font>
    <font>
      <b/>
      <sz val="20"/>
      <color theme="0"/>
      <name val="Aptos Narrow"/>
      <family val="2"/>
      <scheme val="minor"/>
    </font>
    <font>
      <u/>
      <sz val="16"/>
      <color theme="10"/>
      <name val="Aptos Narrow"/>
      <family val="2"/>
      <scheme val="minor"/>
    </font>
    <font>
      <i/>
      <sz val="14"/>
      <color theme="1"/>
      <name val="Aptos Narrow"/>
      <family val="2"/>
      <scheme val="minor"/>
    </font>
    <font>
      <sz val="16"/>
      <color rgb="FFFF0000"/>
      <name val="Aptos Narrow"/>
      <family val="2"/>
      <scheme val="minor"/>
    </font>
    <font>
      <b/>
      <sz val="12"/>
      <color theme="1"/>
      <name val="Aptos Narrow"/>
      <family val="2"/>
      <scheme val="minor"/>
    </font>
    <font>
      <sz val="10"/>
      <color theme="1"/>
      <name val="Aptos Narrow"/>
      <family val="2"/>
      <scheme val="minor"/>
    </font>
  </fonts>
  <fills count="10">
    <fill>
      <patternFill patternType="none"/>
    </fill>
    <fill>
      <patternFill patternType="gray125"/>
    </fill>
    <fill>
      <patternFill patternType="solid">
        <fgColor rgb="FF0070B5"/>
        <bgColor indexed="64"/>
      </patternFill>
    </fill>
    <fill>
      <patternFill patternType="solid">
        <fgColor rgb="FF004975"/>
        <bgColor indexed="64"/>
      </patternFill>
    </fill>
    <fill>
      <patternFill patternType="solid">
        <fgColor rgb="FFFFC885"/>
        <bgColor indexed="64"/>
      </patternFill>
    </fill>
    <fill>
      <patternFill patternType="solid">
        <fgColor rgb="FFFF8B00"/>
        <bgColor indexed="64"/>
      </patternFill>
    </fill>
    <fill>
      <patternFill patternType="solid">
        <fgColor rgb="FF94F6EA"/>
        <bgColor indexed="64"/>
      </patternFill>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cellStyleXfs>
  <cellXfs count="176">
    <xf numFmtId="0" fontId="0" fillId="0" borderId="0" xfId="0"/>
    <xf numFmtId="0" fontId="0" fillId="0" borderId="0" xfId="0" applyAlignment="1">
      <alignment horizontal="center"/>
    </xf>
    <xf numFmtId="0" fontId="2" fillId="0" borderId="0" xfId="0" applyFont="1"/>
    <xf numFmtId="0" fontId="2" fillId="0" borderId="0" xfId="0" applyFont="1" applyAlignment="1">
      <alignment wrapText="1"/>
    </xf>
    <xf numFmtId="0" fontId="4" fillId="0" borderId="0" xfId="0" applyFont="1" applyAlignment="1">
      <alignment wrapText="1"/>
    </xf>
    <xf numFmtId="0" fontId="4" fillId="0" borderId="0" xfId="0" applyFont="1"/>
    <xf numFmtId="0" fontId="0" fillId="0" borderId="0" xfId="0" applyAlignment="1">
      <alignment wrapText="1"/>
    </xf>
    <xf numFmtId="0" fontId="3" fillId="0" borderId="0" xfId="0" applyFont="1" applyAlignment="1">
      <alignment vertical="center"/>
    </xf>
    <xf numFmtId="0" fontId="0" fillId="0" borderId="0" xfId="0" applyAlignment="1">
      <alignment horizontal="left"/>
    </xf>
    <xf numFmtId="0" fontId="2" fillId="0" borderId="0" xfId="0" applyFont="1" applyAlignment="1">
      <alignment horizontal="left"/>
    </xf>
    <xf numFmtId="0" fontId="5" fillId="0" borderId="0" xfId="0" applyFont="1" applyAlignment="1">
      <alignment horizontal="center" wrapText="1"/>
    </xf>
    <xf numFmtId="0" fontId="5" fillId="0" borderId="0" xfId="0" applyFont="1"/>
    <xf numFmtId="44" fontId="5" fillId="0" borderId="0" xfId="2" applyFont="1" applyAlignment="1">
      <alignment horizontal="center"/>
    </xf>
    <xf numFmtId="0" fontId="5" fillId="0" borderId="0" xfId="0" applyFont="1" applyAlignment="1">
      <alignment horizontal="center"/>
    </xf>
    <xf numFmtId="0" fontId="5" fillId="0" borderId="0" xfId="0" applyFont="1" applyAlignment="1">
      <alignment horizontal="left"/>
    </xf>
    <xf numFmtId="0" fontId="5" fillId="0" borderId="0" xfId="0" applyFont="1" applyAlignment="1">
      <alignment wrapText="1"/>
    </xf>
    <xf numFmtId="0" fontId="8" fillId="0" borderId="0" xfId="0" applyFont="1" applyAlignment="1">
      <alignment horizontal="center" vertical="center"/>
    </xf>
    <xf numFmtId="0" fontId="8" fillId="0" borderId="0" xfId="0" applyFont="1" applyAlignment="1">
      <alignment vertical="center"/>
    </xf>
    <xf numFmtId="0" fontId="5" fillId="0" borderId="2" xfId="0" applyFont="1" applyBorder="1"/>
    <xf numFmtId="0" fontId="0" fillId="0" borderId="2" xfId="0" applyBorder="1"/>
    <xf numFmtId="0" fontId="4" fillId="0" borderId="0" xfId="0" applyFont="1" applyAlignment="1">
      <alignment vertical="top" wrapText="1"/>
    </xf>
    <xf numFmtId="0" fontId="8" fillId="0" borderId="0" xfId="0" applyFont="1"/>
    <xf numFmtId="0" fontId="7" fillId="0" borderId="0" xfId="0" applyFont="1" applyAlignment="1">
      <alignment wrapText="1"/>
    </xf>
    <xf numFmtId="0" fontId="7" fillId="0" borderId="0" xfId="0" applyFont="1"/>
    <xf numFmtId="0" fontId="10" fillId="0" borderId="0" xfId="0" applyFont="1"/>
    <xf numFmtId="9" fontId="5" fillId="0" borderId="0" xfId="1" applyFont="1"/>
    <xf numFmtId="0" fontId="5" fillId="0" borderId="0" xfId="0" applyFont="1" applyAlignment="1">
      <alignment vertical="top" wrapText="1"/>
    </xf>
    <xf numFmtId="0" fontId="0" fillId="0" borderId="1" xfId="0" applyBorder="1"/>
    <xf numFmtId="44" fontId="5" fillId="0" borderId="2" xfId="0" applyNumberFormat="1" applyFont="1" applyBorder="1"/>
    <xf numFmtId="0" fontId="3" fillId="0" borderId="6" xfId="0" applyFont="1" applyBorder="1"/>
    <xf numFmtId="0" fontId="5" fillId="0" borderId="6" xfId="0" applyFont="1" applyBorder="1" applyAlignment="1">
      <alignment wrapText="1"/>
    </xf>
    <xf numFmtId="0" fontId="0" fillId="0" borderId="7" xfId="0" applyBorder="1"/>
    <xf numFmtId="0" fontId="0" fillId="0" borderId="12" xfId="0" applyBorder="1"/>
    <xf numFmtId="0" fontId="3" fillId="4" borderId="2" xfId="0" applyFont="1" applyFill="1" applyBorder="1" applyAlignment="1">
      <alignment horizontal="left"/>
    </xf>
    <xf numFmtId="0" fontId="5" fillId="0" borderId="11" xfId="0" applyFont="1" applyBorder="1"/>
    <xf numFmtId="0" fontId="5" fillId="0" borderId="6" xfId="0" applyFont="1" applyBorder="1"/>
    <xf numFmtId="0" fontId="6" fillId="0" borderId="6" xfId="0" applyFont="1" applyBorder="1"/>
    <xf numFmtId="0" fontId="5" fillId="0" borderId="14" xfId="0" applyFont="1" applyBorder="1"/>
    <xf numFmtId="0" fontId="5" fillId="0" borderId="18" xfId="0" applyFont="1" applyBorder="1" applyAlignment="1">
      <alignment horizontal="left"/>
    </xf>
    <xf numFmtId="0" fontId="4" fillId="0" borderId="18" xfId="0" applyFont="1" applyBorder="1" applyAlignment="1">
      <alignment horizontal="left"/>
    </xf>
    <xf numFmtId="0" fontId="3" fillId="5" borderId="5" xfId="0" applyFont="1" applyFill="1" applyBorder="1" applyAlignment="1">
      <alignment wrapText="1"/>
    </xf>
    <xf numFmtId="0" fontId="3" fillId="5" borderId="4" xfId="0" applyFont="1" applyFill="1" applyBorder="1" applyAlignment="1">
      <alignment wrapText="1"/>
    </xf>
    <xf numFmtId="0" fontId="5" fillId="7" borderId="0" xfId="0" applyFont="1" applyFill="1" applyAlignment="1">
      <alignment horizontal="center"/>
    </xf>
    <xf numFmtId="0" fontId="5" fillId="7" borderId="12" xfId="0" applyFont="1" applyFill="1" applyBorder="1"/>
    <xf numFmtId="0" fontId="5" fillId="7" borderId="1" xfId="0" applyFont="1" applyFill="1" applyBorder="1" applyAlignment="1">
      <alignment horizontal="center"/>
    </xf>
    <xf numFmtId="0" fontId="5" fillId="0" borderId="3" xfId="0" applyFont="1" applyBorder="1"/>
    <xf numFmtId="0" fontId="0" fillId="0" borderId="3" xfId="0" applyBorder="1"/>
    <xf numFmtId="0" fontId="0" fillId="0" borderId="0" xfId="0" applyAlignment="1">
      <alignment vertical="center"/>
    </xf>
    <xf numFmtId="0" fontId="0" fillId="0" borderId="6" xfId="0" applyBorder="1" applyAlignment="1">
      <alignment horizontal="left"/>
    </xf>
    <xf numFmtId="0" fontId="0" fillId="0" borderId="11" xfId="0" applyBorder="1"/>
    <xf numFmtId="0" fontId="5" fillId="8" borderId="0" xfId="0" applyFont="1" applyFill="1" applyAlignment="1">
      <alignment wrapText="1"/>
    </xf>
    <xf numFmtId="0" fontId="5" fillId="0" borderId="6" xfId="0" applyFont="1" applyBorder="1" applyAlignment="1">
      <alignment horizontal="left"/>
    </xf>
    <xf numFmtId="0" fontId="5" fillId="7" borderId="6" xfId="0" applyFont="1" applyFill="1" applyBorder="1" applyAlignment="1">
      <alignment wrapText="1"/>
    </xf>
    <xf numFmtId="0" fontId="5" fillId="7" borderId="0" xfId="0" applyFont="1" applyFill="1" applyAlignment="1">
      <alignment wrapText="1"/>
    </xf>
    <xf numFmtId="0" fontId="17" fillId="0" borderId="18" xfId="0" applyFont="1" applyBorder="1" applyAlignment="1">
      <alignment horizontal="center" wrapText="1"/>
    </xf>
    <xf numFmtId="0" fontId="3" fillId="8" borderId="6" xfId="0" applyFont="1" applyFill="1" applyBorder="1"/>
    <xf numFmtId="0" fontId="18" fillId="0" borderId="2" xfId="0" applyFont="1" applyBorder="1" applyAlignment="1">
      <alignment wrapText="1"/>
    </xf>
    <xf numFmtId="0" fontId="18" fillId="0" borderId="3" xfId="0" applyFont="1" applyBorder="1" applyAlignment="1">
      <alignment wrapText="1"/>
    </xf>
    <xf numFmtId="14" fontId="0" fillId="0" borderId="2" xfId="0" applyNumberFormat="1" applyBorder="1"/>
    <xf numFmtId="0" fontId="5" fillId="9" borderId="2" xfId="0" applyFont="1" applyFill="1" applyBorder="1"/>
    <xf numFmtId="0" fontId="5" fillId="0" borderId="15" xfId="0" applyFont="1" applyBorder="1" applyAlignment="1">
      <alignment horizontal="left"/>
    </xf>
    <xf numFmtId="0" fontId="5" fillId="0" borderId="16" xfId="0" applyFont="1" applyBorder="1" applyAlignment="1">
      <alignment horizontal="left"/>
    </xf>
    <xf numFmtId="0" fontId="5" fillId="0" borderId="17" xfId="0" applyFont="1" applyBorder="1" applyAlignment="1">
      <alignment horizontal="left"/>
    </xf>
    <xf numFmtId="0" fontId="3" fillId="7" borderId="15" xfId="0" applyFont="1" applyFill="1" applyBorder="1" applyAlignment="1">
      <alignment horizontal="left"/>
    </xf>
    <xf numFmtId="0" fontId="3" fillId="7" borderId="16" xfId="0" applyFont="1" applyFill="1" applyBorder="1" applyAlignment="1">
      <alignment horizontal="left"/>
    </xf>
    <xf numFmtId="0" fontId="4" fillId="0" borderId="19" xfId="0" applyFont="1" applyBorder="1"/>
    <xf numFmtId="0" fontId="4" fillId="0" borderId="17" xfId="0" applyFont="1" applyBorder="1"/>
    <xf numFmtId="0" fontId="5" fillId="7" borderId="6" xfId="0" applyFont="1" applyFill="1" applyBorder="1" applyAlignment="1">
      <alignment horizontal="left" wrapText="1"/>
    </xf>
    <xf numFmtId="0" fontId="5" fillId="7" borderId="0" xfId="0" applyFont="1" applyFill="1" applyAlignment="1">
      <alignment horizontal="left" wrapText="1"/>
    </xf>
    <xf numFmtId="0" fontId="5" fillId="0" borderId="0" xfId="0" applyFont="1" applyAlignment="1">
      <alignment horizontal="left" wrapText="1"/>
    </xf>
    <xf numFmtId="0" fontId="5" fillId="0" borderId="0" xfId="0" applyFont="1" applyAlignment="1">
      <alignment horizontal="left"/>
    </xf>
    <xf numFmtId="0" fontId="3" fillId="5" borderId="5" xfId="0" applyFont="1" applyFill="1" applyBorder="1" applyAlignment="1">
      <alignment horizontal="left" wrapText="1"/>
    </xf>
    <xf numFmtId="0" fontId="3" fillId="5" borderId="13" xfId="0" applyFont="1" applyFill="1" applyBorder="1" applyAlignment="1">
      <alignment horizontal="left" wrapText="1"/>
    </xf>
    <xf numFmtId="0" fontId="3" fillId="5" borderId="4" xfId="0" applyFont="1" applyFill="1" applyBorder="1" applyAlignment="1">
      <alignment horizontal="left" wrapText="1"/>
    </xf>
    <xf numFmtId="0" fontId="5" fillId="0" borderId="2" xfId="0" applyFont="1" applyBorder="1" applyAlignment="1">
      <alignment wrapText="1"/>
    </xf>
    <xf numFmtId="44" fontId="5" fillId="0" borderId="2" xfId="2" applyFont="1" applyBorder="1" applyAlignment="1">
      <alignment horizontal="center"/>
    </xf>
    <xf numFmtId="0" fontId="13" fillId="3" borderId="0" xfId="0" applyFont="1" applyFill="1" applyAlignment="1">
      <alignment horizontal="center" vertical="center"/>
    </xf>
    <xf numFmtId="0" fontId="5" fillId="0" borderId="0" xfId="0" applyFont="1" applyAlignment="1">
      <alignment horizontal="center"/>
    </xf>
    <xf numFmtId="0" fontId="13" fillId="3" borderId="9" xfId="0" applyFont="1" applyFill="1" applyBorder="1" applyAlignment="1">
      <alignment horizontal="left" vertical="center"/>
    </xf>
    <xf numFmtId="0" fontId="13" fillId="3" borderId="8" xfId="0" applyFont="1" applyFill="1" applyBorder="1" applyAlignment="1">
      <alignment horizontal="left" vertical="center"/>
    </xf>
    <xf numFmtId="0" fontId="13" fillId="3" borderId="10" xfId="0" applyFont="1" applyFill="1" applyBorder="1" applyAlignment="1">
      <alignment horizontal="left" vertical="center"/>
    </xf>
    <xf numFmtId="0" fontId="13" fillId="2" borderId="9" xfId="0" applyFont="1" applyFill="1" applyBorder="1" applyAlignment="1">
      <alignment horizontal="left" vertical="center"/>
    </xf>
    <xf numFmtId="0" fontId="13" fillId="2" borderId="8" xfId="0" applyFont="1" applyFill="1" applyBorder="1" applyAlignment="1">
      <alignment horizontal="left" vertical="center"/>
    </xf>
    <xf numFmtId="0" fontId="13" fillId="2" borderId="10" xfId="0" applyFont="1" applyFill="1" applyBorder="1" applyAlignment="1">
      <alignment horizontal="left" vertical="center"/>
    </xf>
    <xf numFmtId="0" fontId="3" fillId="0" borderId="6" xfId="0" applyFont="1" applyBorder="1" applyAlignment="1">
      <alignment horizontal="left" wrapText="1"/>
    </xf>
    <xf numFmtId="0" fontId="3" fillId="0" borderId="0" xfId="0" applyFont="1" applyAlignment="1">
      <alignment horizontal="left" wrapText="1"/>
    </xf>
    <xf numFmtId="0" fontId="5" fillId="0" borderId="7" xfId="0" applyFont="1" applyBorder="1" applyAlignment="1">
      <alignment horizontal="left" wrapText="1"/>
    </xf>
    <xf numFmtId="0" fontId="9" fillId="0" borderId="6" xfId="0" applyFont="1" applyBorder="1" applyAlignment="1">
      <alignment horizontal="left"/>
    </xf>
    <xf numFmtId="0" fontId="9" fillId="0" borderId="0" xfId="0" applyFont="1" applyAlignment="1">
      <alignment horizontal="left"/>
    </xf>
    <xf numFmtId="0" fontId="5" fillId="0" borderId="7" xfId="0" applyFont="1" applyBorder="1" applyAlignment="1">
      <alignment horizontal="center"/>
    </xf>
    <xf numFmtId="0" fontId="3" fillId="0" borderId="6" xfId="0" applyFont="1" applyBorder="1" applyAlignment="1">
      <alignment horizontal="left"/>
    </xf>
    <xf numFmtId="0" fontId="3" fillId="0" borderId="0" xfId="0" applyFont="1" applyAlignment="1">
      <alignment horizontal="left"/>
    </xf>
    <xf numFmtId="0" fontId="5" fillId="0" borderId="7" xfId="0" applyFont="1" applyBorder="1" applyAlignment="1">
      <alignment horizontal="left"/>
    </xf>
    <xf numFmtId="0" fontId="3" fillId="0" borderId="7" xfId="0" applyFont="1" applyBorder="1" applyAlignment="1">
      <alignment horizontal="left"/>
    </xf>
    <xf numFmtId="0" fontId="3" fillId="5" borderId="5" xfId="0" applyFont="1" applyFill="1" applyBorder="1" applyAlignment="1">
      <alignment horizontal="center" wrapText="1"/>
    </xf>
    <xf numFmtId="0" fontId="3" fillId="5" borderId="4" xfId="0" applyFont="1" applyFill="1" applyBorder="1" applyAlignment="1">
      <alignment horizontal="center" wrapText="1"/>
    </xf>
    <xf numFmtId="14" fontId="5" fillId="7" borderId="16" xfId="0" applyNumberFormat="1" applyFont="1" applyFill="1" applyBorder="1" applyAlignment="1">
      <alignment horizontal="left"/>
    </xf>
    <xf numFmtId="14" fontId="5" fillId="7" borderId="20" xfId="0" applyNumberFormat="1" applyFont="1" applyFill="1" applyBorder="1" applyAlignment="1">
      <alignment horizontal="left"/>
    </xf>
    <xf numFmtId="0" fontId="5" fillId="0" borderId="16" xfId="0" applyFont="1" applyBorder="1" applyAlignment="1">
      <alignment horizontal="center"/>
    </xf>
    <xf numFmtId="0" fontId="5" fillId="0" borderId="20" xfId="0" applyFont="1" applyBorder="1" applyAlignment="1">
      <alignment horizontal="center"/>
    </xf>
    <xf numFmtId="0" fontId="5" fillId="0" borderId="2" xfId="0" applyFont="1" applyBorder="1" applyAlignment="1">
      <alignment horizontal="center"/>
    </xf>
    <xf numFmtId="0" fontId="5" fillId="7" borderId="2" xfId="0" applyFont="1" applyFill="1" applyBorder="1" applyAlignment="1">
      <alignment horizontal="center" wrapText="1"/>
    </xf>
    <xf numFmtId="0" fontId="5" fillId="0" borderId="2" xfId="0" applyFont="1" applyBorder="1" applyAlignment="1">
      <alignment horizontal="left" wrapText="1"/>
    </xf>
    <xf numFmtId="0" fontId="5" fillId="0" borderId="2" xfId="0" applyFont="1" applyBorder="1" applyAlignment="1">
      <alignment horizontal="left"/>
    </xf>
    <xf numFmtId="0" fontId="5" fillId="7" borderId="5" xfId="0" applyFont="1" applyFill="1" applyBorder="1" applyAlignment="1">
      <alignment horizontal="center" wrapText="1"/>
    </xf>
    <xf numFmtId="0" fontId="5" fillId="7" borderId="4" xfId="0" applyFont="1" applyFill="1" applyBorder="1" applyAlignment="1">
      <alignment horizontal="center" wrapText="1"/>
    </xf>
    <xf numFmtId="44" fontId="5" fillId="0" borderId="0" xfId="2" applyFont="1" applyBorder="1" applyAlignment="1">
      <alignment horizontal="center"/>
    </xf>
    <xf numFmtId="0" fontId="3" fillId="5" borderId="13" xfId="0" applyFont="1" applyFill="1" applyBorder="1" applyAlignment="1">
      <alignment horizontal="center" wrapText="1"/>
    </xf>
    <xf numFmtId="0" fontId="5" fillId="0" borderId="5" xfId="0" applyFont="1" applyBorder="1" applyAlignment="1">
      <alignment horizontal="left"/>
    </xf>
    <xf numFmtId="0" fontId="5" fillId="0" borderId="4" xfId="0" applyFont="1" applyBorder="1" applyAlignment="1">
      <alignment horizontal="left"/>
    </xf>
    <xf numFmtId="44" fontId="5" fillId="4" borderId="13" xfId="2" applyFont="1" applyFill="1" applyBorder="1" applyAlignment="1">
      <alignment horizontal="center"/>
    </xf>
    <xf numFmtId="44" fontId="5" fillId="4" borderId="4" xfId="2" applyFont="1" applyFill="1" applyBorder="1" applyAlignment="1">
      <alignment horizontal="center"/>
    </xf>
    <xf numFmtId="9" fontId="3" fillId="4" borderId="5" xfId="1" applyFont="1" applyFill="1" applyBorder="1" applyAlignment="1">
      <alignment horizontal="left"/>
    </xf>
    <xf numFmtId="9" fontId="3" fillId="4" borderId="13" xfId="1" applyFont="1" applyFill="1" applyBorder="1" applyAlignment="1">
      <alignment horizontal="left"/>
    </xf>
    <xf numFmtId="44" fontId="5" fillId="0" borderId="3" xfId="2" applyFont="1" applyBorder="1" applyAlignment="1">
      <alignment horizontal="center"/>
    </xf>
    <xf numFmtId="0" fontId="5" fillId="0" borderId="0" xfId="0" applyFont="1" applyAlignment="1">
      <alignment horizontal="center" wrapText="1"/>
    </xf>
    <xf numFmtId="0" fontId="5" fillId="0" borderId="7" xfId="0" applyFont="1" applyBorder="1" applyAlignment="1">
      <alignment horizontal="center" wrapText="1"/>
    </xf>
    <xf numFmtId="0" fontId="12" fillId="0" borderId="0" xfId="3" applyAlignment="1">
      <alignment horizontal="center"/>
    </xf>
    <xf numFmtId="0" fontId="0" fillId="0" borderId="0" xfId="0" applyAlignment="1">
      <alignment horizontal="center"/>
    </xf>
    <xf numFmtId="0" fontId="0" fillId="0" borderId="7" xfId="0" applyBorder="1" applyAlignment="1">
      <alignment horizontal="center"/>
    </xf>
    <xf numFmtId="0" fontId="5" fillId="0" borderId="19" xfId="0" applyFont="1" applyBorder="1" applyAlignment="1">
      <alignment horizontal="center"/>
    </xf>
    <xf numFmtId="44" fontId="5" fillId="6" borderId="6" xfId="2" applyFont="1" applyFill="1" applyBorder="1" applyAlignment="1">
      <alignment horizontal="center"/>
    </xf>
    <xf numFmtId="44" fontId="5" fillId="6" borderId="0" xfId="2" applyFont="1" applyFill="1" applyBorder="1" applyAlignment="1">
      <alignment horizontal="center"/>
    </xf>
    <xf numFmtId="0" fontId="5" fillId="6" borderId="3" xfId="0" applyFont="1" applyFill="1" applyBorder="1" applyAlignment="1">
      <alignment horizontal="center"/>
    </xf>
    <xf numFmtId="0" fontId="3" fillId="0" borderId="0" xfId="0" applyFont="1" applyAlignment="1">
      <alignment horizontal="left" vertical="center"/>
    </xf>
    <xf numFmtId="0" fontId="3" fillId="0" borderId="7" xfId="0" applyFont="1" applyBorder="1" applyAlignment="1">
      <alignment horizontal="left" vertical="center"/>
    </xf>
    <xf numFmtId="0" fontId="3" fillId="6" borderId="5" xfId="0" applyFont="1" applyFill="1" applyBorder="1" applyAlignment="1">
      <alignment horizontal="right" wrapText="1"/>
    </xf>
    <xf numFmtId="0" fontId="3" fillId="6" borderId="4" xfId="0" applyFont="1" applyFill="1" applyBorder="1" applyAlignment="1">
      <alignment horizontal="right" wrapText="1"/>
    </xf>
    <xf numFmtId="0" fontId="3" fillId="4" borderId="5" xfId="0" applyFont="1" applyFill="1" applyBorder="1" applyAlignment="1">
      <alignment horizontal="left"/>
    </xf>
    <xf numFmtId="0" fontId="3" fillId="4" borderId="13" xfId="0" applyFont="1" applyFill="1" applyBorder="1" applyAlignment="1">
      <alignment horizontal="left"/>
    </xf>
    <xf numFmtId="0" fontId="3" fillId="4" borderId="4" xfId="0" applyFont="1" applyFill="1" applyBorder="1" applyAlignment="1">
      <alignment horizontal="left"/>
    </xf>
    <xf numFmtId="0" fontId="4" fillId="5" borderId="9" xfId="0" applyFont="1" applyFill="1" applyBorder="1" applyAlignment="1">
      <alignment horizontal="center" wrapText="1"/>
    </xf>
    <xf numFmtId="0" fontId="4" fillId="5" borderId="8" xfId="0" applyFont="1" applyFill="1" applyBorder="1" applyAlignment="1">
      <alignment horizontal="center" wrapText="1"/>
    </xf>
    <xf numFmtId="0" fontId="4" fillId="5" borderId="10" xfId="0" applyFont="1" applyFill="1" applyBorder="1" applyAlignment="1">
      <alignment horizontal="center" wrapText="1"/>
    </xf>
    <xf numFmtId="0" fontId="5" fillId="0" borderId="15" xfId="0" applyFont="1" applyBorder="1" applyAlignment="1">
      <alignment horizontal="left" wrapText="1"/>
    </xf>
    <xf numFmtId="0" fontId="5" fillId="0" borderId="16" xfId="0" applyFont="1" applyBorder="1" applyAlignment="1">
      <alignment horizontal="left" wrapText="1"/>
    </xf>
    <xf numFmtId="0" fontId="3" fillId="0" borderId="15" xfId="0" applyFont="1" applyBorder="1" applyAlignment="1">
      <alignment horizontal="left"/>
    </xf>
    <xf numFmtId="0" fontId="3" fillId="0" borderId="16" xfId="0" applyFont="1" applyBorder="1" applyAlignment="1">
      <alignment horizontal="left"/>
    </xf>
    <xf numFmtId="0" fontId="5" fillId="9" borderId="5" xfId="0" applyFont="1" applyFill="1" applyBorder="1" applyAlignment="1">
      <alignment horizontal="center" wrapText="1"/>
    </xf>
    <xf numFmtId="0" fontId="5" fillId="9" borderId="13" xfId="0" applyFont="1" applyFill="1" applyBorder="1" applyAlignment="1">
      <alignment horizontal="center" wrapText="1"/>
    </xf>
    <xf numFmtId="0" fontId="5" fillId="9" borderId="4" xfId="0" applyFont="1" applyFill="1" applyBorder="1" applyAlignment="1">
      <alignment horizontal="center" wrapText="1"/>
    </xf>
    <xf numFmtId="0" fontId="14" fillId="7" borderId="0" xfId="3" applyFont="1" applyFill="1" applyBorder="1" applyAlignment="1">
      <alignment horizontal="left" wrapText="1"/>
    </xf>
    <xf numFmtId="0" fontId="14" fillId="7" borderId="7" xfId="3" applyFont="1" applyFill="1" applyBorder="1" applyAlignment="1">
      <alignment horizontal="left" wrapText="1"/>
    </xf>
    <xf numFmtId="0" fontId="14" fillId="0" borderId="0" xfId="3" applyFont="1" applyBorder="1" applyAlignment="1">
      <alignment horizontal="left"/>
    </xf>
    <xf numFmtId="0" fontId="14" fillId="0" borderId="7" xfId="3" applyFont="1" applyBorder="1" applyAlignment="1">
      <alignment horizontal="left"/>
    </xf>
    <xf numFmtId="0" fontId="5" fillId="0" borderId="17" xfId="0" applyFont="1" applyBorder="1" applyAlignment="1">
      <alignment horizontal="left" wrapText="1"/>
    </xf>
    <xf numFmtId="0" fontId="5" fillId="8" borderId="0" xfId="0" applyFont="1" applyFill="1" applyAlignment="1">
      <alignment horizontal="center" wrapText="1"/>
    </xf>
    <xf numFmtId="0" fontId="5" fillId="8" borderId="0" xfId="0" applyFont="1" applyFill="1" applyAlignment="1">
      <alignment horizontal="center"/>
    </xf>
    <xf numFmtId="0" fontId="11" fillId="3" borderId="0" xfId="0" applyFont="1" applyFill="1" applyAlignment="1">
      <alignment horizontal="center" vertical="center"/>
    </xf>
    <xf numFmtId="9" fontId="3" fillId="4" borderId="13" xfId="1" applyFont="1" applyFill="1" applyBorder="1" applyAlignment="1">
      <alignment horizontal="right"/>
    </xf>
    <xf numFmtId="164" fontId="3" fillId="4" borderId="13" xfId="1" applyNumberFormat="1" applyFont="1" applyFill="1" applyBorder="1" applyAlignment="1">
      <alignment horizontal="right"/>
    </xf>
    <xf numFmtId="0" fontId="2" fillId="4" borderId="0" xfId="0" applyFont="1" applyFill="1" applyAlignment="1">
      <alignment horizontal="left" vertical="top" wrapText="1"/>
    </xf>
    <xf numFmtId="0" fontId="5" fillId="0" borderId="1" xfId="0" applyFont="1" applyBorder="1" applyAlignment="1">
      <alignment horizontal="center"/>
    </xf>
    <xf numFmtId="0" fontId="5" fillId="0" borderId="12" xfId="0" applyFont="1" applyBorder="1" applyAlignment="1">
      <alignment horizontal="center"/>
    </xf>
    <xf numFmtId="0" fontId="5" fillId="0" borderId="8" xfId="0" applyFont="1" applyBorder="1" applyAlignment="1">
      <alignment horizontal="left"/>
    </xf>
    <xf numFmtId="0" fontId="5" fillId="0" borderId="10" xfId="0" applyFont="1" applyBorder="1" applyAlignment="1">
      <alignment horizontal="left"/>
    </xf>
    <xf numFmtId="0" fontId="5" fillId="0" borderId="13" xfId="0" applyFont="1" applyBorder="1" applyAlignment="1">
      <alignment horizontal="left" wrapText="1"/>
    </xf>
    <xf numFmtId="0" fontId="5" fillId="0" borderId="4" xfId="0" applyFont="1" applyBorder="1" applyAlignment="1">
      <alignment horizontal="left" wrapText="1"/>
    </xf>
    <xf numFmtId="0" fontId="5" fillId="0" borderId="8" xfId="0" applyFont="1" applyBorder="1" applyAlignment="1">
      <alignment horizontal="center"/>
    </xf>
    <xf numFmtId="0" fontId="5" fillId="0" borderId="10" xfId="0" applyFont="1" applyBorder="1" applyAlignment="1">
      <alignment horizontal="center"/>
    </xf>
    <xf numFmtId="0" fontId="3" fillId="0" borderId="0" xfId="0" applyFont="1" applyAlignment="1">
      <alignment horizontal="center"/>
    </xf>
    <xf numFmtId="0" fontId="3" fillId="0" borderId="7" xfId="0" applyFont="1" applyBorder="1" applyAlignment="1">
      <alignment horizontal="center"/>
    </xf>
    <xf numFmtId="14" fontId="5" fillId="0" borderId="16" xfId="0" applyNumberFormat="1" applyFont="1" applyBorder="1" applyAlignment="1">
      <alignment horizontal="left"/>
    </xf>
    <xf numFmtId="14" fontId="5" fillId="0" borderId="20" xfId="0" applyNumberFormat="1" applyFont="1" applyBorder="1" applyAlignment="1">
      <alignment horizontal="left"/>
    </xf>
    <xf numFmtId="0" fontId="4" fillId="0" borderId="19" xfId="0" applyFont="1" applyBorder="1" applyAlignment="1">
      <alignment horizontal="left"/>
    </xf>
    <xf numFmtId="0" fontId="4" fillId="0" borderId="17" xfId="0" applyFont="1" applyBorder="1" applyAlignment="1">
      <alignment horizontal="left"/>
    </xf>
    <xf numFmtId="0" fontId="0" fillId="0" borderId="0" xfId="0" applyAlignment="1">
      <alignment horizontal="center" wrapText="1"/>
    </xf>
    <xf numFmtId="0" fontId="14" fillId="0" borderId="0" xfId="3" applyFont="1" applyBorder="1" applyAlignment="1">
      <alignment horizontal="center"/>
    </xf>
    <xf numFmtId="0" fontId="5" fillId="7" borderId="11" xfId="0" applyFont="1" applyFill="1" applyBorder="1" applyAlignment="1">
      <alignment horizontal="left" wrapText="1"/>
    </xf>
    <xf numFmtId="0" fontId="5" fillId="7" borderId="1" xfId="0" applyFont="1" applyFill="1" applyBorder="1" applyAlignment="1">
      <alignment horizontal="left" wrapText="1"/>
    </xf>
    <xf numFmtId="0" fontId="5" fillId="0" borderId="0" xfId="0" applyFont="1" applyAlignment="1">
      <alignment horizontal="left" vertical="center"/>
    </xf>
    <xf numFmtId="0" fontId="5" fillId="0" borderId="7" xfId="0" applyFont="1" applyBorder="1" applyAlignment="1">
      <alignment horizontal="left" vertical="center"/>
    </xf>
    <xf numFmtId="0" fontId="5" fillId="0" borderId="5"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left" wrapText="1"/>
    </xf>
    <xf numFmtId="0" fontId="5" fillId="0" borderId="3" xfId="0" applyFont="1" applyBorder="1" applyAlignment="1">
      <alignment horizontal="left" wrapText="1"/>
    </xf>
  </cellXfs>
  <cellStyles count="4">
    <cellStyle name="Lien hypertexte" xfId="3" builtinId="8"/>
    <cellStyle name="Monétaire" xfId="2" builtinId="4"/>
    <cellStyle name="Normal" xfId="0" builtinId="0"/>
    <cellStyle name="Pourcentage" xfId="1" builtinId="5"/>
  </cellStyles>
  <dxfs count="0"/>
  <tableStyles count="0" defaultTableStyle="TableStyleMedium2" defaultPivotStyle="PivotStyleLight16"/>
  <colors>
    <mruColors>
      <color rgb="FF004975"/>
      <color rgb="FF0070B5"/>
      <color rgb="FFFFC885"/>
      <color rgb="FFCDECFF"/>
      <color rgb="FF94F6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15801</xdr:colOff>
      <xdr:row>18</xdr:row>
      <xdr:rowOff>9525</xdr:rowOff>
    </xdr:to>
    <xdr:pic>
      <xdr:nvPicPr>
        <xdr:cNvPr id="3" name="Image 2">
          <a:extLst>
            <a:ext uri="{FF2B5EF4-FFF2-40B4-BE49-F238E27FC236}">
              <a16:creationId xmlns:a16="http://schemas.microsoft.com/office/drawing/2014/main" id="{0A803FD0-AE5C-4AAD-B2A4-40D76F3BA6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977796" cy="3429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40820</xdr:colOff>
      <xdr:row>14</xdr:row>
      <xdr:rowOff>19113</xdr:rowOff>
    </xdr:to>
    <xdr:pic>
      <xdr:nvPicPr>
        <xdr:cNvPr id="4" name="Image 3">
          <a:extLst>
            <a:ext uri="{FF2B5EF4-FFF2-40B4-BE49-F238E27FC236}">
              <a16:creationId xmlns:a16="http://schemas.microsoft.com/office/drawing/2014/main" id="{2440663D-EE75-66D2-DE10-D3550AB8048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3481"/>
        <a:stretch>
          <a:fillRect/>
        </a:stretch>
      </xdr:blipFill>
      <xdr:spPr>
        <a:xfrm>
          <a:off x="0" y="0"/>
          <a:ext cx="16138070" cy="2777553"/>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ervicescommunautaires@cegepjonquiere.ca"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cegepjonquiere.ca/situations-d-urgence.html" TargetMode="External"/><Relationship Id="rId1" Type="http://schemas.openxmlformats.org/officeDocument/2006/relationships/hyperlink" Target="mailto:servicescommunautaires@cegepjonquiere.ca"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7E0-A9E2-4E20-BCB9-B13D4B729696}">
  <sheetPr>
    <pageSetUpPr fitToPage="1"/>
  </sheetPr>
  <dimension ref="A7:Q150"/>
  <sheetViews>
    <sheetView topLeftCell="A48" zoomScale="80" zoomScaleNormal="80" zoomScaleSheetLayoutView="100" workbookViewId="0">
      <selection activeCell="B32" sqref="B32:D32"/>
    </sheetView>
  </sheetViews>
  <sheetFormatPr baseColWidth="10" defaultRowHeight="15" x14ac:dyDescent="0.25"/>
  <cols>
    <col min="1" max="1" width="57.5703125" customWidth="1"/>
    <col min="2" max="2" width="17.140625" customWidth="1"/>
    <col min="3" max="3" width="20.140625" customWidth="1"/>
    <col min="4" max="4" width="18.42578125" customWidth="1"/>
    <col min="5" max="5" width="25" customWidth="1"/>
    <col min="6" max="6" width="22.28515625" customWidth="1"/>
    <col min="7" max="7" width="18.7109375" customWidth="1"/>
    <col min="8" max="8" width="25.5703125" customWidth="1"/>
    <col min="9" max="9" width="3.7109375" customWidth="1"/>
    <col min="10" max="10" width="30.7109375" customWidth="1"/>
    <col min="11" max="11" width="14.85546875" customWidth="1"/>
    <col min="12" max="12" width="7.7109375" customWidth="1"/>
    <col min="13" max="13" width="3.42578125" customWidth="1"/>
  </cols>
  <sheetData>
    <row r="7" spans="1:11" ht="15" customHeight="1" x14ac:dyDescent="0.25"/>
    <row r="8" spans="1:11" ht="15" customHeight="1" x14ac:dyDescent="0.25">
      <c r="A8" s="1"/>
      <c r="B8" s="1"/>
      <c r="C8" s="1"/>
      <c r="D8" s="1"/>
      <c r="E8" s="1"/>
      <c r="F8" s="1"/>
      <c r="G8" s="1"/>
      <c r="H8" s="1"/>
      <c r="I8" s="1"/>
    </row>
    <row r="9" spans="1:11" ht="15" customHeight="1" x14ac:dyDescent="0.25">
      <c r="A9" s="1"/>
      <c r="B9" s="1"/>
      <c r="C9" s="1"/>
      <c r="D9" s="1"/>
      <c r="E9" s="1"/>
      <c r="F9" s="1"/>
      <c r="G9" s="1"/>
      <c r="H9" s="1"/>
      <c r="I9" s="1"/>
    </row>
    <row r="10" spans="1:11" ht="15" customHeight="1" x14ac:dyDescent="0.25">
      <c r="A10" s="1"/>
      <c r="B10" s="1"/>
      <c r="C10" s="1"/>
      <c r="D10" s="1"/>
      <c r="E10" s="1"/>
      <c r="G10" s="1"/>
      <c r="H10" s="1"/>
      <c r="I10" s="1"/>
    </row>
    <row r="11" spans="1:11" ht="15" customHeight="1" x14ac:dyDescent="0.25">
      <c r="A11" s="1"/>
      <c r="B11" s="1"/>
      <c r="C11" s="1"/>
      <c r="D11" s="1"/>
      <c r="E11" s="1"/>
      <c r="G11" s="1"/>
      <c r="H11" s="1"/>
      <c r="I11" s="1"/>
    </row>
    <row r="13" spans="1:11" ht="21" x14ac:dyDescent="0.35">
      <c r="B13" s="7"/>
      <c r="C13" s="7"/>
      <c r="D13" s="7"/>
      <c r="E13" s="7"/>
      <c r="F13" s="7"/>
      <c r="G13" s="7"/>
      <c r="H13" s="7"/>
      <c r="I13" s="7"/>
      <c r="J13" s="11"/>
      <c r="K13" s="11"/>
    </row>
    <row r="14" spans="1:11" ht="16.149999999999999" customHeight="1" x14ac:dyDescent="0.35">
      <c r="C14" s="77"/>
      <c r="D14" s="77"/>
      <c r="E14" s="77"/>
      <c r="F14" s="77"/>
      <c r="G14" s="11"/>
      <c r="H14" s="11"/>
      <c r="I14" s="11"/>
      <c r="J14" s="11"/>
      <c r="K14" s="11"/>
    </row>
    <row r="15" spans="1:11" ht="21" x14ac:dyDescent="0.35">
      <c r="C15" s="13"/>
      <c r="D15" s="13"/>
      <c r="E15" s="13"/>
      <c r="F15" s="13"/>
      <c r="H15" s="11"/>
      <c r="I15" s="11"/>
      <c r="J15" s="11"/>
      <c r="K15" s="11"/>
    </row>
    <row r="16" spans="1:11" ht="11.25" customHeight="1" x14ac:dyDescent="0.35">
      <c r="C16" s="13"/>
      <c r="D16" s="13"/>
      <c r="E16" s="13"/>
      <c r="F16" s="13"/>
      <c r="H16" s="11"/>
      <c r="I16" s="11"/>
      <c r="J16" s="11"/>
      <c r="K16" s="11"/>
    </row>
    <row r="17" spans="1:12" ht="11.25" customHeight="1" x14ac:dyDescent="0.35">
      <c r="C17" s="13"/>
      <c r="D17" s="13"/>
      <c r="E17" s="13"/>
      <c r="F17" s="13"/>
      <c r="H17" s="11"/>
      <c r="I17" s="11"/>
      <c r="J17" s="11"/>
      <c r="K17" s="11"/>
    </row>
    <row r="18" spans="1:12" ht="11.25" customHeight="1" x14ac:dyDescent="0.35">
      <c r="C18" s="13"/>
      <c r="D18" s="13"/>
      <c r="E18" s="13"/>
      <c r="F18" s="13"/>
      <c r="H18" s="11"/>
      <c r="I18" s="11"/>
      <c r="J18" s="11"/>
      <c r="K18" s="11"/>
    </row>
    <row r="19" spans="1:12" ht="11.25" customHeight="1" x14ac:dyDescent="0.35">
      <c r="C19" s="13"/>
      <c r="D19" s="13"/>
      <c r="E19" s="13"/>
      <c r="F19" s="13"/>
      <c r="H19" s="11"/>
      <c r="I19" s="11"/>
      <c r="J19" s="11"/>
      <c r="K19" s="11"/>
    </row>
    <row r="20" spans="1:12" ht="21" customHeight="1" x14ac:dyDescent="0.35">
      <c r="C20" s="15" t="s">
        <v>7</v>
      </c>
      <c r="E20" s="128" t="s">
        <v>47</v>
      </c>
      <c r="F20" s="129"/>
      <c r="G20" s="129"/>
      <c r="H20" s="129"/>
      <c r="I20" s="130"/>
      <c r="J20" s="33"/>
      <c r="K20" s="11"/>
    </row>
    <row r="21" spans="1:12" ht="25.15" customHeight="1" x14ac:dyDescent="0.35">
      <c r="C21" s="15"/>
      <c r="E21" s="128" t="s">
        <v>48</v>
      </c>
      <c r="F21" s="129"/>
      <c r="G21" s="129"/>
      <c r="H21" s="129"/>
      <c r="I21" s="130"/>
      <c r="J21" s="33"/>
      <c r="K21" s="11"/>
    </row>
    <row r="22" spans="1:12" ht="21" x14ac:dyDescent="0.35">
      <c r="B22" s="11"/>
      <c r="C22" s="11"/>
      <c r="E22" s="128" t="s">
        <v>49</v>
      </c>
      <c r="F22" s="129"/>
      <c r="G22" s="129"/>
      <c r="H22" s="129"/>
      <c r="I22" s="130"/>
      <c r="J22" s="33"/>
      <c r="K22" s="11"/>
    </row>
    <row r="23" spans="1:12" ht="21" x14ac:dyDescent="0.35">
      <c r="B23" s="11"/>
      <c r="C23" s="11"/>
      <c r="D23" s="11"/>
      <c r="E23" s="11"/>
      <c r="F23" s="11"/>
      <c r="J23" s="24" t="s">
        <v>46</v>
      </c>
      <c r="K23" s="11"/>
    </row>
    <row r="24" spans="1:12" ht="21" customHeight="1" x14ac:dyDescent="0.25">
      <c r="A24" s="78" t="s">
        <v>36</v>
      </c>
      <c r="B24" s="79"/>
      <c r="C24" s="79"/>
      <c r="D24" s="80"/>
      <c r="E24" s="81" t="s">
        <v>41</v>
      </c>
      <c r="F24" s="82"/>
      <c r="G24" s="82"/>
      <c r="H24" s="82"/>
      <c r="I24" s="82"/>
      <c r="J24" s="83"/>
    </row>
    <row r="25" spans="1:12" ht="21" customHeight="1" x14ac:dyDescent="0.35">
      <c r="A25" s="29" t="s">
        <v>39</v>
      </c>
      <c r="B25" s="77"/>
      <c r="C25" s="77"/>
      <c r="D25" s="89"/>
      <c r="E25" s="90" t="s">
        <v>42</v>
      </c>
      <c r="F25" s="91"/>
      <c r="G25" s="91"/>
      <c r="H25" s="77" t="s">
        <v>43</v>
      </c>
      <c r="I25" s="77"/>
      <c r="J25" s="89"/>
    </row>
    <row r="26" spans="1:12" ht="21" x14ac:dyDescent="0.35">
      <c r="A26" s="29" t="s">
        <v>38</v>
      </c>
      <c r="B26" s="77"/>
      <c r="C26" s="77"/>
      <c r="D26" s="89"/>
      <c r="E26" s="84" t="s">
        <v>44</v>
      </c>
      <c r="F26" s="85"/>
      <c r="G26" s="85"/>
      <c r="H26" s="160" t="s">
        <v>93</v>
      </c>
      <c r="I26" s="160"/>
      <c r="J26" s="161"/>
    </row>
    <row r="27" spans="1:12" ht="21" customHeight="1" x14ac:dyDescent="0.35">
      <c r="A27" s="29" t="s">
        <v>0</v>
      </c>
      <c r="B27" s="115"/>
      <c r="C27" s="115"/>
      <c r="D27" s="116"/>
      <c r="E27" s="84" t="s">
        <v>0</v>
      </c>
      <c r="F27" s="85"/>
      <c r="G27" s="85"/>
      <c r="H27" s="115" t="s">
        <v>162</v>
      </c>
      <c r="I27" s="115"/>
      <c r="J27" s="116"/>
      <c r="L27" s="6"/>
    </row>
    <row r="28" spans="1:12" ht="16.149999999999999" customHeight="1" x14ac:dyDescent="0.25">
      <c r="A28" s="36" t="s">
        <v>34</v>
      </c>
      <c r="B28" s="115"/>
      <c r="C28" s="115"/>
      <c r="D28" s="116"/>
      <c r="E28" s="87" t="s">
        <v>34</v>
      </c>
      <c r="F28" s="88"/>
      <c r="G28" s="88"/>
      <c r="H28" s="115"/>
      <c r="I28" s="115"/>
      <c r="J28" s="116"/>
      <c r="L28" s="6"/>
    </row>
    <row r="29" spans="1:12" ht="19.149999999999999" customHeight="1" x14ac:dyDescent="0.35">
      <c r="A29" s="29" t="s">
        <v>1</v>
      </c>
      <c r="B29" s="77"/>
      <c r="C29" s="77"/>
      <c r="D29" s="89"/>
      <c r="E29" s="84" t="s">
        <v>1</v>
      </c>
      <c r="F29" s="85"/>
      <c r="G29" s="85"/>
      <c r="H29" s="115" t="s">
        <v>94</v>
      </c>
      <c r="I29" s="115"/>
      <c r="J29" s="116"/>
      <c r="L29" s="3"/>
    </row>
    <row r="30" spans="1:12" ht="22.15" customHeight="1" x14ac:dyDescent="0.35">
      <c r="A30" s="29" t="s">
        <v>2</v>
      </c>
      <c r="B30" s="166"/>
      <c r="C30" s="118"/>
      <c r="D30" s="119"/>
      <c r="E30" s="90" t="s">
        <v>2</v>
      </c>
      <c r="F30" s="91"/>
      <c r="G30" s="91"/>
      <c r="H30" s="167" t="s">
        <v>95</v>
      </c>
      <c r="I30" s="77"/>
      <c r="J30" s="89"/>
      <c r="L30" s="2"/>
    </row>
    <row r="31" spans="1:12" ht="23.45" customHeight="1" x14ac:dyDescent="0.35">
      <c r="A31" s="29" t="s">
        <v>37</v>
      </c>
      <c r="B31" s="115"/>
      <c r="C31" s="115"/>
      <c r="D31" s="116"/>
      <c r="E31" s="30"/>
      <c r="F31" s="13"/>
      <c r="J31" s="31"/>
      <c r="K31" s="11"/>
    </row>
    <row r="32" spans="1:12" ht="23.45" customHeight="1" x14ac:dyDescent="0.35">
      <c r="A32" s="29" t="s">
        <v>85</v>
      </c>
      <c r="B32" s="170"/>
      <c r="C32" s="170"/>
      <c r="D32" s="171"/>
      <c r="E32" s="30"/>
      <c r="F32" s="13"/>
      <c r="J32" s="31"/>
      <c r="K32" s="11"/>
    </row>
    <row r="33" spans="1:14" ht="42" customHeight="1" x14ac:dyDescent="0.35">
      <c r="A33" s="67" t="s">
        <v>35</v>
      </c>
      <c r="B33" s="68"/>
      <c r="C33" s="42" t="s">
        <v>86</v>
      </c>
      <c r="D33" s="43"/>
      <c r="E33" s="35"/>
      <c r="F33" s="13"/>
      <c r="J33" s="31"/>
      <c r="K33" s="11"/>
    </row>
    <row r="34" spans="1:14" ht="61.15" customHeight="1" x14ac:dyDescent="0.35">
      <c r="A34" s="168" t="s">
        <v>33</v>
      </c>
      <c r="B34" s="169"/>
      <c r="C34" s="44" t="s">
        <v>86</v>
      </c>
      <c r="D34" s="43"/>
      <c r="E34" s="34"/>
      <c r="F34" s="27"/>
      <c r="G34" s="27"/>
      <c r="H34" s="27"/>
      <c r="I34" s="27"/>
      <c r="J34" s="32"/>
    </row>
    <row r="35" spans="1:14" ht="9.6" customHeight="1" x14ac:dyDescent="0.35">
      <c r="A35" s="10"/>
      <c r="B35" s="10"/>
    </row>
    <row r="36" spans="1:14" ht="44.25" customHeight="1" x14ac:dyDescent="0.25">
      <c r="A36" s="76" t="s">
        <v>81</v>
      </c>
      <c r="B36" s="76"/>
      <c r="C36" s="76"/>
      <c r="D36" s="76"/>
      <c r="E36" s="76"/>
      <c r="F36" s="76"/>
      <c r="G36" s="76"/>
      <c r="H36" s="76"/>
      <c r="I36" s="76"/>
      <c r="J36" s="76"/>
      <c r="K36" s="17"/>
      <c r="L36" s="17"/>
      <c r="M36" s="17"/>
      <c r="N36" s="17"/>
    </row>
    <row r="37" spans="1:14" ht="36" customHeight="1" thickBot="1" x14ac:dyDescent="0.35">
      <c r="A37" s="131" t="s">
        <v>90</v>
      </c>
      <c r="B37" s="132"/>
      <c r="C37" s="132"/>
      <c r="D37" s="132"/>
      <c r="E37" s="132"/>
      <c r="F37" s="132"/>
      <c r="G37" s="132"/>
      <c r="H37" s="132"/>
      <c r="I37" s="132"/>
      <c r="J37" s="133"/>
      <c r="K37" s="20"/>
      <c r="L37" s="20"/>
      <c r="M37" s="20"/>
      <c r="N37" s="20"/>
    </row>
    <row r="38" spans="1:14" ht="43.5" customHeight="1" thickBot="1" x14ac:dyDescent="0.4">
      <c r="A38" s="136" t="s">
        <v>3</v>
      </c>
      <c r="B38" s="137"/>
      <c r="C38" s="137"/>
      <c r="D38" s="137"/>
      <c r="E38" s="162"/>
      <c r="F38" s="162"/>
      <c r="G38" s="162"/>
      <c r="H38" s="162"/>
      <c r="I38" s="162"/>
      <c r="J38" s="163"/>
      <c r="K38" s="11"/>
    </row>
    <row r="39" spans="1:14" ht="43.5" customHeight="1" thickBot="1" x14ac:dyDescent="0.4">
      <c r="A39" s="134" t="s">
        <v>98</v>
      </c>
      <c r="B39" s="135"/>
      <c r="C39" s="135"/>
      <c r="D39" s="145"/>
      <c r="E39" s="164" t="s">
        <v>102</v>
      </c>
      <c r="F39" s="165"/>
      <c r="G39" s="38"/>
      <c r="H39" s="39" t="s">
        <v>103</v>
      </c>
      <c r="I39" s="120"/>
      <c r="J39" s="99"/>
      <c r="K39" s="11"/>
    </row>
    <row r="40" spans="1:14" ht="43.5" customHeight="1" thickBot="1" x14ac:dyDescent="0.4">
      <c r="A40" s="60" t="s">
        <v>96</v>
      </c>
      <c r="B40" s="61"/>
      <c r="C40" s="61"/>
      <c r="D40" s="62"/>
      <c r="E40" s="164" t="s">
        <v>104</v>
      </c>
      <c r="F40" s="165"/>
      <c r="G40" s="38"/>
      <c r="H40" s="39" t="s">
        <v>105</v>
      </c>
      <c r="I40" s="120"/>
      <c r="J40" s="99"/>
      <c r="K40" s="11"/>
    </row>
    <row r="41" spans="1:14" ht="43.5" customHeight="1" thickBot="1" x14ac:dyDescent="0.4">
      <c r="A41" s="134" t="s">
        <v>97</v>
      </c>
      <c r="B41" s="135"/>
      <c r="C41" s="135"/>
      <c r="D41" s="145"/>
      <c r="E41" s="164" t="s">
        <v>106</v>
      </c>
      <c r="F41" s="165"/>
      <c r="G41" s="38"/>
      <c r="H41" s="39" t="s">
        <v>107</v>
      </c>
      <c r="I41" s="120"/>
      <c r="J41" s="99"/>
      <c r="K41" s="11"/>
    </row>
    <row r="42" spans="1:14" ht="43.5" customHeight="1" thickBot="1" x14ac:dyDescent="0.4">
      <c r="A42" s="136" t="s">
        <v>99</v>
      </c>
      <c r="B42" s="137"/>
      <c r="C42" s="137"/>
      <c r="D42" s="137"/>
      <c r="E42" s="98"/>
      <c r="F42" s="98"/>
      <c r="G42" s="98"/>
      <c r="H42" s="98"/>
      <c r="I42" s="98"/>
      <c r="J42" s="99"/>
      <c r="K42" s="11"/>
    </row>
    <row r="43" spans="1:14" ht="43.5" customHeight="1" thickBot="1" x14ac:dyDescent="0.4">
      <c r="A43" s="134" t="s">
        <v>100</v>
      </c>
      <c r="B43" s="135"/>
      <c r="C43" s="135"/>
      <c r="D43" s="135"/>
      <c r="E43" s="98"/>
      <c r="F43" s="98"/>
      <c r="G43" s="98"/>
      <c r="H43" s="98"/>
      <c r="I43" s="98"/>
      <c r="J43" s="99"/>
      <c r="K43" s="13"/>
    </row>
    <row r="44" spans="1:14" ht="43.5" customHeight="1" thickBot="1" x14ac:dyDescent="0.4">
      <c r="A44" s="136" t="s">
        <v>101</v>
      </c>
      <c r="B44" s="137"/>
      <c r="C44" s="137"/>
      <c r="D44" s="137"/>
      <c r="E44" s="98"/>
      <c r="F44" s="98"/>
      <c r="G44" s="98"/>
      <c r="H44" s="98"/>
      <c r="I44" s="98"/>
      <c r="J44" s="99"/>
      <c r="K44" s="11"/>
    </row>
    <row r="45" spans="1:14" ht="19.899999999999999" customHeight="1" x14ac:dyDescent="0.35">
      <c r="A45" s="14"/>
      <c r="B45" s="14"/>
      <c r="C45" s="11"/>
      <c r="D45" s="11"/>
      <c r="E45" s="11"/>
      <c r="F45" s="11"/>
      <c r="G45" s="11"/>
      <c r="H45" s="11"/>
      <c r="I45" s="11"/>
      <c r="J45" s="11"/>
      <c r="K45" s="11"/>
    </row>
    <row r="46" spans="1:14" ht="41.25" customHeight="1" x14ac:dyDescent="0.25">
      <c r="A46" s="76" t="s">
        <v>110</v>
      </c>
      <c r="B46" s="76"/>
      <c r="C46" s="76"/>
      <c r="D46" s="76"/>
      <c r="E46" s="76"/>
      <c r="F46" s="76"/>
      <c r="G46" s="76"/>
      <c r="H46" s="76"/>
      <c r="I46" s="76"/>
      <c r="J46" s="76"/>
      <c r="K46" s="17"/>
      <c r="L46" s="17"/>
      <c r="M46" s="17"/>
      <c r="N46" s="16"/>
    </row>
    <row r="47" spans="1:14" ht="12" customHeight="1" x14ac:dyDescent="0.25">
      <c r="B47" s="7"/>
      <c r="C47" s="7"/>
      <c r="D47" s="7"/>
      <c r="E47" s="7"/>
      <c r="F47" s="7"/>
      <c r="G47" s="7"/>
      <c r="H47" s="7"/>
      <c r="I47" s="7"/>
    </row>
    <row r="48" spans="1:14" ht="43.15" customHeight="1" x14ac:dyDescent="0.35">
      <c r="A48" s="94" t="s">
        <v>4</v>
      </c>
      <c r="B48" s="95"/>
      <c r="C48" s="94" t="s">
        <v>54</v>
      </c>
      <c r="D48" s="95"/>
      <c r="E48" s="94" t="s">
        <v>84</v>
      </c>
      <c r="F48" s="95"/>
      <c r="G48" s="94" t="s">
        <v>5</v>
      </c>
      <c r="H48" s="107"/>
      <c r="I48" s="107"/>
      <c r="J48" s="95"/>
    </row>
    <row r="49" spans="1:16" ht="36" customHeight="1" x14ac:dyDescent="0.35">
      <c r="A49" s="102" t="s">
        <v>71</v>
      </c>
      <c r="B49" s="102"/>
      <c r="C49" s="172"/>
      <c r="D49" s="173"/>
      <c r="E49" s="100"/>
      <c r="F49" s="100"/>
      <c r="G49" s="75"/>
      <c r="H49" s="75"/>
      <c r="I49" s="75"/>
      <c r="J49" s="75"/>
    </row>
    <row r="50" spans="1:16" ht="39.6" customHeight="1" x14ac:dyDescent="0.35">
      <c r="A50" s="174" t="s">
        <v>72</v>
      </c>
      <c r="B50" s="157"/>
      <c r="C50" s="172"/>
      <c r="D50" s="173"/>
      <c r="E50" s="100"/>
      <c r="F50" s="100"/>
      <c r="G50" s="75">
        <f>C50*E50</f>
        <v>0</v>
      </c>
      <c r="H50" s="75"/>
      <c r="I50" s="75"/>
      <c r="J50" s="75"/>
    </row>
    <row r="51" spans="1:16" ht="18.600000000000001" customHeight="1" x14ac:dyDescent="0.35">
      <c r="A51" s="103" t="s">
        <v>73</v>
      </c>
      <c r="B51" s="103"/>
      <c r="C51" s="172"/>
      <c r="D51" s="173"/>
      <c r="E51" s="100"/>
      <c r="F51" s="100"/>
      <c r="G51" s="75">
        <f>C51*E51</f>
        <v>0</v>
      </c>
      <c r="H51" s="75"/>
      <c r="I51" s="75"/>
      <c r="J51" s="75"/>
    </row>
    <row r="52" spans="1:16" ht="29.25" customHeight="1" x14ac:dyDescent="0.35">
      <c r="A52" s="102" t="s">
        <v>74</v>
      </c>
      <c r="B52" s="102"/>
      <c r="C52" s="172"/>
      <c r="D52" s="173"/>
      <c r="E52" s="100"/>
      <c r="F52" s="100"/>
      <c r="G52" s="75"/>
      <c r="H52" s="75"/>
      <c r="I52" s="75"/>
      <c r="J52" s="75"/>
    </row>
    <row r="53" spans="1:16" ht="21" x14ac:dyDescent="0.35">
      <c r="A53" s="102" t="s">
        <v>75</v>
      </c>
      <c r="B53" s="102"/>
      <c r="C53" s="100"/>
      <c r="D53" s="100"/>
      <c r="E53" s="100"/>
      <c r="F53" s="100"/>
      <c r="G53" s="75">
        <f>C53*E53</f>
        <v>0</v>
      </c>
      <c r="H53" s="75"/>
      <c r="I53" s="75"/>
      <c r="J53" s="75"/>
    </row>
    <row r="54" spans="1:16" ht="21" customHeight="1" x14ac:dyDescent="0.35">
      <c r="A54" s="102" t="s">
        <v>76</v>
      </c>
      <c r="B54" s="102"/>
      <c r="C54" s="100"/>
      <c r="D54" s="100"/>
      <c r="E54" s="100"/>
      <c r="F54" s="100"/>
      <c r="G54" s="75">
        <f>C54*E54</f>
        <v>0</v>
      </c>
      <c r="H54" s="75"/>
      <c r="I54" s="75"/>
      <c r="J54" s="75"/>
    </row>
    <row r="55" spans="1:16" ht="21" x14ac:dyDescent="0.35">
      <c r="A55" s="74" t="s">
        <v>77</v>
      </c>
      <c r="B55" s="74"/>
      <c r="C55" s="100"/>
      <c r="D55" s="100"/>
      <c r="E55" s="100"/>
      <c r="F55" s="100"/>
      <c r="G55" s="75">
        <f>C55*E55</f>
        <v>0</v>
      </c>
      <c r="H55" s="75"/>
      <c r="I55" s="75"/>
      <c r="J55" s="75"/>
    </row>
    <row r="56" spans="1:16" ht="21" customHeight="1" x14ac:dyDescent="0.35">
      <c r="A56" s="74" t="s">
        <v>82</v>
      </c>
      <c r="B56" s="74"/>
      <c r="C56" s="100"/>
      <c r="D56" s="100"/>
      <c r="E56" s="100"/>
      <c r="F56" s="100"/>
      <c r="G56" s="75">
        <f>C56*E56</f>
        <v>0</v>
      </c>
      <c r="H56" s="75"/>
      <c r="I56" s="75"/>
      <c r="J56" s="75"/>
    </row>
    <row r="57" spans="1:16" ht="21" x14ac:dyDescent="0.35">
      <c r="A57" s="102" t="s">
        <v>78</v>
      </c>
      <c r="B57" s="102"/>
      <c r="C57" s="100"/>
      <c r="D57" s="100"/>
      <c r="E57" s="100"/>
      <c r="F57" s="100"/>
      <c r="G57" s="75">
        <f t="shared" ref="G57:G62" si="0">C57*E57</f>
        <v>0</v>
      </c>
      <c r="H57" s="75"/>
      <c r="I57" s="75"/>
      <c r="J57" s="75"/>
    </row>
    <row r="58" spans="1:16" ht="21" x14ac:dyDescent="0.35">
      <c r="A58" s="174" t="s">
        <v>79</v>
      </c>
      <c r="B58" s="157"/>
      <c r="C58" s="100"/>
      <c r="D58" s="100"/>
      <c r="E58" s="100"/>
      <c r="F58" s="100"/>
      <c r="G58" s="75">
        <f>C58*E58</f>
        <v>0</v>
      </c>
      <c r="H58" s="75"/>
      <c r="I58" s="75"/>
      <c r="J58" s="75"/>
    </row>
    <row r="59" spans="1:16" ht="21" customHeight="1" x14ac:dyDescent="0.35">
      <c r="A59" s="175" t="s">
        <v>87</v>
      </c>
      <c r="B59" s="157"/>
      <c r="C59" s="100"/>
      <c r="D59" s="100"/>
      <c r="E59" s="100"/>
      <c r="F59" s="100"/>
      <c r="G59" s="75">
        <f t="shared" si="0"/>
        <v>0</v>
      </c>
      <c r="H59" s="75"/>
      <c r="I59" s="75"/>
      <c r="J59" s="75"/>
    </row>
    <row r="60" spans="1:16" ht="21" customHeight="1" x14ac:dyDescent="0.35">
      <c r="A60" s="174" t="s">
        <v>80</v>
      </c>
      <c r="B60" s="157"/>
      <c r="C60" s="100"/>
      <c r="D60" s="100"/>
      <c r="E60" s="100"/>
      <c r="F60" s="100"/>
      <c r="G60" s="75">
        <f t="shared" ref="G60:G61" si="1">C60*E60</f>
        <v>0</v>
      </c>
      <c r="H60" s="75"/>
      <c r="I60" s="75"/>
      <c r="J60" s="75"/>
    </row>
    <row r="61" spans="1:16" ht="21" customHeight="1" x14ac:dyDescent="0.35">
      <c r="A61" s="174" t="s">
        <v>91</v>
      </c>
      <c r="B61" s="157"/>
      <c r="C61" s="100"/>
      <c r="D61" s="100"/>
      <c r="E61" s="100"/>
      <c r="F61" s="100"/>
      <c r="G61" s="75">
        <f t="shared" si="1"/>
        <v>0</v>
      </c>
      <c r="H61" s="75"/>
      <c r="I61" s="75"/>
      <c r="J61" s="75"/>
    </row>
    <row r="62" spans="1:16" ht="21" x14ac:dyDescent="0.35">
      <c r="A62" s="126" t="s">
        <v>109</v>
      </c>
      <c r="B62" s="127"/>
      <c r="C62" s="123"/>
      <c r="D62" s="123"/>
      <c r="E62" s="123"/>
      <c r="F62" s="123"/>
      <c r="G62" s="121">
        <f t="shared" si="0"/>
        <v>0</v>
      </c>
      <c r="H62" s="122"/>
      <c r="I62" s="122"/>
      <c r="J62" s="122"/>
    </row>
    <row r="63" spans="1:16" ht="43.5" customHeight="1" x14ac:dyDescent="0.35">
      <c r="A63" s="94" t="s">
        <v>108</v>
      </c>
      <c r="B63" s="95"/>
      <c r="C63" s="40" t="s">
        <v>6</v>
      </c>
      <c r="D63" s="41" t="s">
        <v>64</v>
      </c>
      <c r="E63" s="94" t="s">
        <v>65</v>
      </c>
      <c r="F63" s="95" t="s">
        <v>66</v>
      </c>
      <c r="G63" s="94" t="s">
        <v>5</v>
      </c>
      <c r="H63" s="107"/>
      <c r="I63" s="107"/>
      <c r="J63" s="95"/>
      <c r="L63" s="11"/>
      <c r="O63" s="77"/>
      <c r="P63" s="77"/>
    </row>
    <row r="64" spans="1:16" ht="21" x14ac:dyDescent="0.35">
      <c r="A64" s="103" t="s">
        <v>153</v>
      </c>
      <c r="B64" s="103"/>
      <c r="C64" s="18"/>
      <c r="D64" s="18"/>
      <c r="E64" s="56"/>
      <c r="F64" s="56"/>
      <c r="G64" s="75">
        <f t="shared" ref="G64:G73" si="2">D64*C64</f>
        <v>0</v>
      </c>
      <c r="H64" s="75"/>
      <c r="I64" s="75"/>
      <c r="J64" s="75"/>
      <c r="O64" s="106"/>
      <c r="P64" s="106"/>
    </row>
    <row r="65" spans="1:16" ht="21" x14ac:dyDescent="0.35">
      <c r="A65" s="108" t="s">
        <v>154</v>
      </c>
      <c r="B65" s="109"/>
      <c r="C65" s="18"/>
      <c r="D65" s="18"/>
      <c r="E65" s="56"/>
      <c r="F65" s="56"/>
      <c r="G65" s="75">
        <f t="shared" si="2"/>
        <v>0</v>
      </c>
      <c r="H65" s="75"/>
      <c r="I65" s="75"/>
      <c r="J65" s="75"/>
      <c r="O65" s="106"/>
      <c r="P65" s="106"/>
    </row>
    <row r="66" spans="1:16" ht="21" x14ac:dyDescent="0.35">
      <c r="A66" s="108" t="s">
        <v>155</v>
      </c>
      <c r="B66" s="109"/>
      <c r="C66" s="18"/>
      <c r="D66" s="18"/>
      <c r="E66" s="56"/>
      <c r="F66" s="56"/>
      <c r="G66" s="75">
        <f t="shared" si="2"/>
        <v>0</v>
      </c>
      <c r="H66" s="75"/>
      <c r="I66" s="75"/>
      <c r="J66" s="75"/>
      <c r="O66" s="106"/>
      <c r="P66" s="106"/>
    </row>
    <row r="67" spans="1:16" ht="21" x14ac:dyDescent="0.35">
      <c r="A67" s="108" t="s">
        <v>112</v>
      </c>
      <c r="B67" s="109"/>
      <c r="C67" s="18"/>
      <c r="D67" s="18"/>
      <c r="E67" s="56"/>
      <c r="F67" s="56"/>
      <c r="G67" s="75">
        <f t="shared" si="2"/>
        <v>0</v>
      </c>
      <c r="H67" s="75"/>
      <c r="I67" s="75"/>
      <c r="J67" s="75"/>
      <c r="O67" s="106"/>
      <c r="P67" s="106"/>
    </row>
    <row r="68" spans="1:16" ht="21" x14ac:dyDescent="0.35">
      <c r="A68" s="108" t="s">
        <v>113</v>
      </c>
      <c r="B68" s="109"/>
      <c r="C68" s="18"/>
      <c r="D68" s="18"/>
      <c r="E68" s="56"/>
      <c r="F68" s="56"/>
      <c r="G68" s="75">
        <f t="shared" si="2"/>
        <v>0</v>
      </c>
      <c r="H68" s="75"/>
      <c r="I68" s="75"/>
      <c r="J68" s="75"/>
      <c r="O68" s="106"/>
      <c r="P68" s="106"/>
    </row>
    <row r="69" spans="1:16" ht="21" x14ac:dyDescent="0.35">
      <c r="A69" s="103" t="s">
        <v>156</v>
      </c>
      <c r="B69" s="103"/>
      <c r="C69" s="18"/>
      <c r="D69" s="18"/>
      <c r="E69" s="56"/>
      <c r="F69" s="56"/>
      <c r="G69" s="75">
        <f t="shared" si="2"/>
        <v>0</v>
      </c>
      <c r="H69" s="75"/>
      <c r="I69" s="75"/>
      <c r="J69" s="75"/>
      <c r="O69" s="106"/>
      <c r="P69" s="106"/>
    </row>
    <row r="70" spans="1:16" ht="21" x14ac:dyDescent="0.35">
      <c r="A70" s="103" t="s">
        <v>88</v>
      </c>
      <c r="B70" s="103"/>
      <c r="C70" s="18"/>
      <c r="D70" s="18"/>
      <c r="E70" s="56"/>
      <c r="F70" s="56"/>
      <c r="G70" s="75">
        <f t="shared" si="2"/>
        <v>0</v>
      </c>
      <c r="H70" s="75"/>
      <c r="I70" s="75"/>
      <c r="J70" s="75"/>
      <c r="O70" s="106"/>
      <c r="P70" s="106"/>
    </row>
    <row r="71" spans="1:16" ht="21" x14ac:dyDescent="0.35">
      <c r="A71" s="108" t="s">
        <v>157</v>
      </c>
      <c r="B71" s="109"/>
      <c r="C71" s="18"/>
      <c r="D71" s="18"/>
      <c r="E71" s="56"/>
      <c r="F71" s="56"/>
      <c r="G71" s="75">
        <f t="shared" si="2"/>
        <v>0</v>
      </c>
      <c r="H71" s="75"/>
      <c r="I71" s="75"/>
      <c r="J71" s="75"/>
      <c r="O71" s="106"/>
      <c r="P71" s="106"/>
    </row>
    <row r="72" spans="1:16" ht="21" x14ac:dyDescent="0.35">
      <c r="A72" s="103" t="s">
        <v>67</v>
      </c>
      <c r="B72" s="103"/>
      <c r="C72" s="18"/>
      <c r="D72" s="18"/>
      <c r="E72" s="56"/>
      <c r="F72" s="56"/>
      <c r="G72" s="75">
        <f t="shared" si="2"/>
        <v>0</v>
      </c>
      <c r="H72" s="75"/>
      <c r="I72" s="75"/>
      <c r="J72" s="75"/>
      <c r="O72" s="106"/>
      <c r="P72" s="106"/>
    </row>
    <row r="73" spans="1:16" ht="21" x14ac:dyDescent="0.35">
      <c r="A73" s="103" t="s">
        <v>118</v>
      </c>
      <c r="B73" s="103"/>
      <c r="C73" s="45"/>
      <c r="D73" s="45"/>
      <c r="E73" s="57"/>
      <c r="F73" s="57"/>
      <c r="G73" s="114">
        <f t="shared" si="2"/>
        <v>0</v>
      </c>
      <c r="H73" s="114"/>
      <c r="I73" s="114"/>
      <c r="J73" s="114"/>
      <c r="O73" s="106"/>
      <c r="P73" s="106"/>
    </row>
    <row r="74" spans="1:16" ht="21" x14ac:dyDescent="0.35">
      <c r="A74" s="11"/>
      <c r="B74" s="11"/>
      <c r="C74" s="112" t="s">
        <v>25</v>
      </c>
      <c r="D74" s="113"/>
      <c r="E74" s="113"/>
      <c r="F74" s="113"/>
      <c r="G74" s="110">
        <f>SUM(G49:J52,G53:J62,G64:J73)</f>
        <v>0</v>
      </c>
      <c r="H74" s="110"/>
      <c r="I74" s="110"/>
      <c r="J74" s="111"/>
      <c r="O74" s="106"/>
      <c r="P74" s="106"/>
    </row>
    <row r="75" spans="1:16" ht="21" x14ac:dyDescent="0.35">
      <c r="A75" s="11"/>
      <c r="B75" s="11"/>
      <c r="C75" s="128" t="s">
        <v>40</v>
      </c>
      <c r="D75" s="129"/>
      <c r="E75" s="149">
        <v>0.05</v>
      </c>
      <c r="F75" s="149"/>
      <c r="G75" s="110">
        <f>(G74*5/100)</f>
        <v>0</v>
      </c>
      <c r="H75" s="110"/>
      <c r="I75" s="110"/>
      <c r="J75" s="111"/>
      <c r="O75" s="106"/>
      <c r="P75" s="106"/>
    </row>
    <row r="76" spans="1:16" ht="21" x14ac:dyDescent="0.35">
      <c r="A76" s="11"/>
      <c r="B76" s="11"/>
      <c r="C76" s="128" t="s">
        <v>24</v>
      </c>
      <c r="D76" s="129"/>
      <c r="E76" s="150">
        <v>9.9750000000000005E-2</v>
      </c>
      <c r="F76" s="150"/>
      <c r="G76" s="110">
        <f>(G74*9.975/100)</f>
        <v>0</v>
      </c>
      <c r="H76" s="110"/>
      <c r="I76" s="110"/>
      <c r="J76" s="111"/>
      <c r="O76" s="106"/>
      <c r="P76" s="106"/>
    </row>
    <row r="77" spans="1:16" ht="26.25" x14ac:dyDescent="0.4">
      <c r="A77" s="11"/>
      <c r="B77" s="11"/>
      <c r="C77" s="128" t="s">
        <v>92</v>
      </c>
      <c r="D77" s="129"/>
      <c r="E77" s="113"/>
      <c r="F77" s="113"/>
      <c r="G77" s="110">
        <f>G74+G75+G76</f>
        <v>0</v>
      </c>
      <c r="H77" s="110"/>
      <c r="I77" s="110"/>
      <c r="J77" s="111"/>
      <c r="K77" s="21"/>
      <c r="O77" s="106"/>
      <c r="P77" s="106"/>
    </row>
    <row r="78" spans="1:16" ht="26.25" x14ac:dyDescent="0.4">
      <c r="A78" s="11"/>
      <c r="B78" s="11"/>
      <c r="C78" s="11"/>
      <c r="D78" s="11"/>
      <c r="E78" s="25"/>
      <c r="F78" s="25"/>
      <c r="G78" s="12"/>
      <c r="H78" s="12"/>
      <c r="J78" s="21"/>
      <c r="K78" s="21"/>
    </row>
    <row r="79" spans="1:16" s="47" customFormat="1" ht="43.5" customHeight="1" x14ac:dyDescent="0.25">
      <c r="A79" s="76" t="s">
        <v>89</v>
      </c>
      <c r="B79" s="148"/>
      <c r="C79" s="148"/>
      <c r="D79" s="148"/>
      <c r="E79" s="148"/>
      <c r="F79" s="148"/>
      <c r="G79" s="148"/>
      <c r="H79" s="148"/>
      <c r="I79" s="148"/>
      <c r="J79" s="148"/>
    </row>
    <row r="80" spans="1:16" ht="14.45" customHeight="1" x14ac:dyDescent="0.4">
      <c r="A80" s="11"/>
      <c r="B80" s="11"/>
      <c r="C80" s="11"/>
      <c r="D80" s="11"/>
      <c r="E80" s="25"/>
      <c r="F80" s="25"/>
      <c r="G80" s="12"/>
      <c r="H80" s="12"/>
      <c r="J80" s="21"/>
      <c r="K80" s="21"/>
    </row>
    <row r="81" spans="1:15" ht="25.9" customHeight="1" x14ac:dyDescent="0.35">
      <c r="A81" s="18" t="s">
        <v>69</v>
      </c>
      <c r="B81" s="28">
        <f>G77/2</f>
        <v>0</v>
      </c>
      <c r="C81" s="151" t="s">
        <v>119</v>
      </c>
      <c r="D81" s="151"/>
      <c r="E81" s="151"/>
      <c r="F81" s="151"/>
      <c r="G81" s="151"/>
      <c r="H81" s="151"/>
      <c r="I81" s="151"/>
      <c r="J81" s="151"/>
      <c r="K81" s="26"/>
    </row>
    <row r="82" spans="1:15" ht="25.9" customHeight="1" x14ac:dyDescent="0.35">
      <c r="A82" s="37" t="s">
        <v>70</v>
      </c>
      <c r="B82" s="19"/>
      <c r="C82" s="151"/>
      <c r="D82" s="151"/>
      <c r="E82" s="151"/>
      <c r="F82" s="151"/>
      <c r="G82" s="151"/>
      <c r="H82" s="151"/>
      <c r="I82" s="151"/>
      <c r="J82" s="151"/>
      <c r="K82" s="26"/>
    </row>
    <row r="83" spans="1:15" ht="178.5" customHeight="1" x14ac:dyDescent="0.35">
      <c r="A83" s="11"/>
      <c r="C83" s="151"/>
      <c r="D83" s="151"/>
      <c r="E83" s="151"/>
      <c r="F83" s="151"/>
      <c r="G83" s="151"/>
      <c r="H83" s="151"/>
      <c r="I83" s="151"/>
      <c r="J83" s="151"/>
      <c r="K83" s="26"/>
    </row>
    <row r="84" spans="1:15" ht="33" customHeight="1" x14ac:dyDescent="0.25"/>
    <row r="85" spans="1:15" ht="51.75" customHeight="1" x14ac:dyDescent="0.4">
      <c r="A85" s="76" t="s">
        <v>121</v>
      </c>
      <c r="B85" s="76"/>
      <c r="C85" s="76"/>
      <c r="D85" s="76"/>
      <c r="E85" s="76"/>
      <c r="F85" s="76"/>
      <c r="G85" s="76"/>
      <c r="H85" s="76"/>
      <c r="I85" s="76"/>
      <c r="J85" s="76"/>
      <c r="K85" s="21"/>
      <c r="L85" s="21"/>
      <c r="M85" s="21"/>
    </row>
    <row r="86" spans="1:15" ht="26.25" x14ac:dyDescent="0.4">
      <c r="A86" s="71" t="s">
        <v>144</v>
      </c>
      <c r="B86" s="72"/>
      <c r="C86" s="72"/>
      <c r="D86" s="72"/>
      <c r="E86" s="72"/>
      <c r="F86" s="72"/>
      <c r="G86" s="72"/>
      <c r="H86" s="72"/>
      <c r="I86" s="72"/>
      <c r="J86" s="73"/>
      <c r="K86" s="21"/>
      <c r="L86" s="21"/>
      <c r="M86" s="21"/>
    </row>
    <row r="87" spans="1:15" ht="21" customHeight="1" x14ac:dyDescent="0.4">
      <c r="A87" s="22" t="s">
        <v>8</v>
      </c>
      <c r="B87" s="4"/>
      <c r="C87" s="2"/>
      <c r="D87" s="2"/>
      <c r="E87" s="2"/>
      <c r="F87" s="2"/>
      <c r="G87" s="2"/>
    </row>
    <row r="88" spans="1:15" ht="21" customHeight="1" x14ac:dyDescent="0.35">
      <c r="A88" s="69" t="s">
        <v>122</v>
      </c>
      <c r="B88" s="69"/>
      <c r="C88" s="69"/>
      <c r="D88" s="69"/>
      <c r="E88" s="69"/>
      <c r="F88" s="69"/>
      <c r="G88" s="69"/>
      <c r="H88" s="69"/>
      <c r="I88" s="69"/>
      <c r="J88" s="69"/>
      <c r="K88" s="15"/>
      <c r="L88" s="3"/>
      <c r="M88" s="3"/>
      <c r="N88" s="3"/>
      <c r="O88" s="3"/>
    </row>
    <row r="89" spans="1:15" ht="21" customHeight="1" x14ac:dyDescent="0.4">
      <c r="A89" s="22" t="s">
        <v>9</v>
      </c>
      <c r="B89" s="4"/>
      <c r="C89" s="2"/>
      <c r="D89" s="2"/>
      <c r="E89" s="2"/>
      <c r="F89" s="2"/>
      <c r="G89" s="2"/>
      <c r="K89" s="2"/>
      <c r="L89" s="2"/>
      <c r="M89" s="2"/>
      <c r="N89" s="2"/>
      <c r="O89" s="2"/>
    </row>
    <row r="90" spans="1:15" s="8" customFormat="1" ht="46.15" customHeight="1" x14ac:dyDescent="0.35">
      <c r="A90" s="69" t="s">
        <v>123</v>
      </c>
      <c r="B90" s="69"/>
      <c r="C90" s="69"/>
      <c r="D90" s="69"/>
      <c r="E90" s="69"/>
      <c r="F90" s="69"/>
      <c r="G90" s="69"/>
      <c r="H90" s="69"/>
      <c r="I90" s="69"/>
      <c r="J90" s="69"/>
      <c r="K90" s="15"/>
      <c r="L90" s="9"/>
      <c r="M90" s="9"/>
      <c r="N90" s="9"/>
      <c r="O90" s="9"/>
    </row>
    <row r="91" spans="1:15" ht="24" x14ac:dyDescent="0.4">
      <c r="A91" s="22" t="s">
        <v>10</v>
      </c>
      <c r="B91" s="4"/>
      <c r="C91" s="2"/>
      <c r="D91" s="2"/>
      <c r="E91" s="2"/>
      <c r="F91" s="2"/>
      <c r="G91" s="2"/>
      <c r="K91" s="3"/>
      <c r="L91" s="3"/>
      <c r="M91" s="3"/>
      <c r="N91" s="3"/>
      <c r="O91" s="3"/>
    </row>
    <row r="92" spans="1:15" ht="21" customHeight="1" x14ac:dyDescent="0.35">
      <c r="A92" s="69" t="s">
        <v>124</v>
      </c>
      <c r="B92" s="69"/>
      <c r="C92" s="69"/>
      <c r="D92" s="69"/>
      <c r="E92" s="69"/>
      <c r="F92" s="69"/>
      <c r="G92" s="69"/>
      <c r="H92" s="69"/>
      <c r="I92" s="69"/>
      <c r="J92" s="69"/>
      <c r="K92" s="15"/>
      <c r="L92" s="2"/>
      <c r="M92" s="2"/>
      <c r="N92" s="2"/>
      <c r="O92" s="2"/>
    </row>
    <row r="93" spans="1:15" ht="26.25" x14ac:dyDescent="0.4">
      <c r="A93" s="71" t="s">
        <v>145</v>
      </c>
      <c r="B93" s="72"/>
      <c r="C93" s="72"/>
      <c r="D93" s="72"/>
      <c r="E93" s="72"/>
      <c r="F93" s="72"/>
      <c r="G93" s="72"/>
      <c r="H93" s="72"/>
      <c r="I93" s="72"/>
      <c r="J93" s="73"/>
      <c r="K93" s="21"/>
      <c r="L93" s="21"/>
      <c r="M93" s="21"/>
    </row>
    <row r="94" spans="1:15" ht="24" x14ac:dyDescent="0.4">
      <c r="A94" s="22" t="s">
        <v>11</v>
      </c>
      <c r="B94" s="4"/>
      <c r="K94" s="5"/>
      <c r="L94" s="2"/>
      <c r="M94" s="2"/>
      <c r="N94" s="2"/>
      <c r="O94" s="2"/>
    </row>
    <row r="95" spans="1:15" ht="21" x14ac:dyDescent="0.35">
      <c r="A95" s="70" t="s">
        <v>125</v>
      </c>
      <c r="B95" s="70"/>
      <c r="C95" s="70"/>
      <c r="D95" s="70"/>
      <c r="E95" s="70"/>
      <c r="F95" s="70"/>
      <c r="G95" s="70"/>
      <c r="H95" s="70"/>
      <c r="I95" s="70"/>
      <c r="J95" s="70"/>
      <c r="K95" s="11"/>
      <c r="L95" s="3"/>
      <c r="M95" s="3"/>
      <c r="N95" s="3"/>
      <c r="O95" s="3"/>
    </row>
    <row r="96" spans="1:15" ht="24" x14ac:dyDescent="0.4">
      <c r="A96" s="22" t="s">
        <v>12</v>
      </c>
      <c r="B96" s="4"/>
      <c r="K96" s="2"/>
      <c r="L96" s="2"/>
      <c r="M96" s="2"/>
      <c r="N96" s="2"/>
      <c r="O96" s="2"/>
    </row>
    <row r="97" spans="1:17" ht="50.25" customHeight="1" x14ac:dyDescent="0.35">
      <c r="A97" s="69" t="s">
        <v>150</v>
      </c>
      <c r="B97" s="69"/>
      <c r="C97" s="69"/>
      <c r="D97" s="69"/>
      <c r="E97" s="69"/>
      <c r="F97" s="69"/>
      <c r="G97" s="69"/>
      <c r="H97" s="69"/>
      <c r="I97" s="69"/>
      <c r="J97" s="69"/>
      <c r="K97" s="147"/>
      <c r="L97" s="147"/>
      <c r="M97" s="147"/>
      <c r="N97" s="147"/>
      <c r="O97" s="147"/>
      <c r="P97" s="147"/>
      <c r="Q97" s="147"/>
    </row>
    <row r="98" spans="1:17" ht="21" customHeight="1" x14ac:dyDescent="0.4">
      <c r="A98" s="22" t="s">
        <v>13</v>
      </c>
      <c r="B98" s="4"/>
    </row>
    <row r="99" spans="1:17" ht="64.900000000000006" customHeight="1" x14ac:dyDescent="0.35">
      <c r="A99" s="69" t="s">
        <v>134</v>
      </c>
      <c r="B99" s="69"/>
      <c r="C99" s="69"/>
      <c r="D99" s="69"/>
      <c r="E99" s="69"/>
      <c r="F99" s="69"/>
      <c r="G99" s="69"/>
      <c r="H99" s="69"/>
      <c r="I99" s="69"/>
      <c r="J99" s="69"/>
      <c r="K99" s="15"/>
    </row>
    <row r="100" spans="1:17" ht="21" customHeight="1" x14ac:dyDescent="0.4">
      <c r="A100" s="22" t="s">
        <v>14</v>
      </c>
      <c r="B100" s="4"/>
    </row>
    <row r="101" spans="1:17" ht="47.25" customHeight="1" x14ac:dyDescent="0.35">
      <c r="A101" s="69" t="s">
        <v>151</v>
      </c>
      <c r="B101" s="69"/>
      <c r="C101" s="69"/>
      <c r="D101" s="69"/>
      <c r="E101" s="69"/>
      <c r="F101" s="69"/>
      <c r="G101" s="69"/>
      <c r="H101" s="69"/>
      <c r="I101" s="69"/>
      <c r="J101" s="69"/>
      <c r="K101" s="146"/>
      <c r="L101" s="146"/>
      <c r="M101" s="146"/>
      <c r="N101" s="146"/>
      <c r="O101" s="146"/>
      <c r="P101" s="146"/>
    </row>
    <row r="102" spans="1:17" ht="21" customHeight="1" x14ac:dyDescent="0.4">
      <c r="A102" s="22" t="s">
        <v>15</v>
      </c>
      <c r="B102" s="4"/>
    </row>
    <row r="103" spans="1:17" ht="21" customHeight="1" x14ac:dyDescent="0.35">
      <c r="A103" s="69" t="s">
        <v>135</v>
      </c>
      <c r="B103" s="69"/>
      <c r="C103" s="69"/>
      <c r="D103" s="69"/>
      <c r="E103" s="69"/>
      <c r="F103" s="69"/>
      <c r="G103" s="69"/>
      <c r="H103" s="69"/>
      <c r="I103" s="69"/>
      <c r="J103" s="69"/>
      <c r="K103" s="15"/>
    </row>
    <row r="104" spans="1:17" ht="21" customHeight="1" x14ac:dyDescent="0.4">
      <c r="A104" s="23" t="s">
        <v>16</v>
      </c>
      <c r="B104" s="5"/>
    </row>
    <row r="105" spans="1:17" ht="21" customHeight="1" x14ac:dyDescent="0.35">
      <c r="A105" s="69" t="s">
        <v>136</v>
      </c>
      <c r="B105" s="69"/>
      <c r="C105" s="69"/>
      <c r="D105" s="69"/>
      <c r="E105" s="69"/>
      <c r="F105" s="69"/>
      <c r="G105" s="69"/>
      <c r="H105" s="69"/>
      <c r="I105" s="69"/>
      <c r="J105" s="69"/>
      <c r="K105" s="15"/>
    </row>
    <row r="106" spans="1:17" ht="26.25" x14ac:dyDescent="0.4">
      <c r="A106" s="71" t="s">
        <v>146</v>
      </c>
      <c r="B106" s="72"/>
      <c r="C106" s="72"/>
      <c r="D106" s="72"/>
      <c r="E106" s="72"/>
      <c r="F106" s="72"/>
      <c r="G106" s="72"/>
      <c r="H106" s="72"/>
      <c r="I106" s="72"/>
      <c r="J106" s="73"/>
      <c r="K106" s="21"/>
      <c r="L106" s="21"/>
      <c r="M106" s="21"/>
    </row>
    <row r="107" spans="1:17" ht="21" customHeight="1" x14ac:dyDescent="0.4">
      <c r="A107" s="22" t="s">
        <v>17</v>
      </c>
      <c r="B107" s="4"/>
    </row>
    <row r="108" spans="1:17" ht="46.5" customHeight="1" x14ac:dyDescent="0.35">
      <c r="A108" s="69" t="s">
        <v>164</v>
      </c>
      <c r="B108" s="69"/>
      <c r="C108" s="69"/>
      <c r="D108" s="69"/>
      <c r="E108" s="69"/>
      <c r="F108" s="69"/>
      <c r="G108" s="69"/>
      <c r="H108" s="69"/>
      <c r="I108" s="69"/>
      <c r="J108" s="69"/>
      <c r="K108" s="15"/>
    </row>
    <row r="109" spans="1:17" ht="21" customHeight="1" x14ac:dyDescent="0.4">
      <c r="A109" s="22" t="s">
        <v>18</v>
      </c>
      <c r="B109" s="4"/>
    </row>
    <row r="110" spans="1:17" ht="21" customHeight="1" x14ac:dyDescent="0.35">
      <c r="A110" s="69" t="s">
        <v>131</v>
      </c>
      <c r="B110" s="69"/>
      <c r="C110" s="69"/>
      <c r="D110" s="69"/>
      <c r="E110" s="69"/>
      <c r="F110" s="69"/>
      <c r="G110" s="69"/>
      <c r="H110" s="69"/>
      <c r="I110" s="69"/>
      <c r="J110" s="69"/>
      <c r="K110" s="15"/>
    </row>
    <row r="111" spans="1:17" ht="24" x14ac:dyDescent="0.4">
      <c r="A111" s="22" t="s">
        <v>19</v>
      </c>
      <c r="B111" s="4"/>
    </row>
    <row r="112" spans="1:17" ht="21" customHeight="1" x14ac:dyDescent="0.35">
      <c r="A112" s="69" t="s">
        <v>132</v>
      </c>
      <c r="B112" s="69"/>
      <c r="C112" s="69"/>
      <c r="D112" s="69"/>
      <c r="E112" s="69"/>
      <c r="F112" s="69"/>
      <c r="G112" s="69"/>
      <c r="H112" s="69"/>
      <c r="I112" s="69"/>
      <c r="J112" s="69"/>
      <c r="K112" s="15"/>
    </row>
    <row r="113" spans="1:15" ht="24" x14ac:dyDescent="0.4">
      <c r="A113" s="22" t="s">
        <v>20</v>
      </c>
      <c r="B113" s="4"/>
    </row>
    <row r="114" spans="1:15" ht="21" x14ac:dyDescent="0.35">
      <c r="A114" s="69" t="s">
        <v>133</v>
      </c>
      <c r="B114" s="69"/>
      <c r="C114" s="69"/>
      <c r="D114" s="69"/>
      <c r="E114" s="69"/>
      <c r="F114" s="69"/>
      <c r="G114" s="69"/>
      <c r="H114" s="69"/>
      <c r="I114" s="69"/>
      <c r="J114" s="69"/>
      <c r="K114" s="15"/>
    </row>
    <row r="115" spans="1:15" ht="24" x14ac:dyDescent="0.4">
      <c r="A115" s="23" t="s">
        <v>45</v>
      </c>
      <c r="B115" s="5"/>
    </row>
    <row r="116" spans="1:15" ht="21" customHeight="1" x14ac:dyDescent="0.35">
      <c r="A116" s="69" t="s">
        <v>137</v>
      </c>
      <c r="B116" s="69"/>
      <c r="C116" s="69"/>
      <c r="D116" s="69"/>
      <c r="E116" s="69"/>
      <c r="F116" s="69"/>
      <c r="G116" s="69"/>
      <c r="H116" s="69"/>
      <c r="I116" s="69"/>
      <c r="J116" s="69"/>
      <c r="K116" s="15"/>
    </row>
    <row r="117" spans="1:15" ht="26.25" x14ac:dyDescent="0.4">
      <c r="A117" s="71" t="s">
        <v>147</v>
      </c>
      <c r="B117" s="72"/>
      <c r="C117" s="72"/>
      <c r="D117" s="72"/>
      <c r="E117" s="72"/>
      <c r="F117" s="72"/>
      <c r="G117" s="72"/>
      <c r="H117" s="72"/>
      <c r="I117" s="72"/>
      <c r="J117" s="73"/>
      <c r="K117" s="21"/>
      <c r="L117" s="21"/>
      <c r="M117" s="21"/>
    </row>
    <row r="118" spans="1:15" ht="21" customHeight="1" x14ac:dyDescent="0.4">
      <c r="A118" s="22" t="s">
        <v>21</v>
      </c>
      <c r="B118" s="4"/>
      <c r="K118" s="2"/>
      <c r="L118" s="2"/>
      <c r="M118" s="2"/>
      <c r="N118" s="2"/>
      <c r="O118" s="2"/>
    </row>
    <row r="119" spans="1:15" ht="45.6" customHeight="1" x14ac:dyDescent="0.35">
      <c r="A119" s="69" t="s">
        <v>126</v>
      </c>
      <c r="B119" s="69"/>
      <c r="C119" s="69"/>
      <c r="D119" s="69"/>
      <c r="E119" s="69"/>
      <c r="F119" s="69"/>
      <c r="G119" s="69"/>
      <c r="H119" s="69"/>
      <c r="I119" s="69"/>
      <c r="J119" s="69"/>
      <c r="K119" s="15"/>
    </row>
    <row r="120" spans="1:15" ht="24" x14ac:dyDescent="0.4">
      <c r="A120" s="23" t="s">
        <v>22</v>
      </c>
      <c r="B120" s="5"/>
    </row>
    <row r="121" spans="1:15" ht="41.45" customHeight="1" x14ac:dyDescent="0.35">
      <c r="A121" s="69" t="s">
        <v>139</v>
      </c>
      <c r="B121" s="69"/>
      <c r="C121" s="69"/>
      <c r="D121" s="69"/>
      <c r="E121" s="69"/>
      <c r="F121" s="69"/>
      <c r="G121" s="69"/>
      <c r="H121" s="69"/>
      <c r="I121" s="69"/>
      <c r="J121" s="69"/>
      <c r="K121" s="15"/>
    </row>
    <row r="122" spans="1:15" ht="21" customHeight="1" x14ac:dyDescent="0.4">
      <c r="A122" s="23" t="s">
        <v>23</v>
      </c>
      <c r="B122" s="5"/>
    </row>
    <row r="123" spans="1:15" ht="47.25" customHeight="1" x14ac:dyDescent="0.35">
      <c r="A123" s="69" t="s">
        <v>140</v>
      </c>
      <c r="B123" s="69"/>
      <c r="C123" s="69"/>
      <c r="D123" s="69"/>
      <c r="E123" s="69"/>
      <c r="F123" s="69"/>
      <c r="G123" s="69"/>
      <c r="H123" s="69"/>
      <c r="I123" s="69"/>
      <c r="J123" s="69"/>
      <c r="K123" s="15"/>
    </row>
    <row r="124" spans="1:15" ht="24" x14ac:dyDescent="0.4">
      <c r="A124" s="23" t="s">
        <v>26</v>
      </c>
      <c r="B124" s="5"/>
    </row>
    <row r="125" spans="1:15" ht="26.45" customHeight="1" x14ac:dyDescent="0.35">
      <c r="A125" s="69" t="s">
        <v>141</v>
      </c>
      <c r="B125" s="69"/>
      <c r="C125" s="69"/>
      <c r="D125" s="69"/>
      <c r="E125" s="69"/>
      <c r="F125" s="69"/>
      <c r="G125" s="69"/>
      <c r="H125" s="69"/>
      <c r="I125" s="69"/>
      <c r="J125" s="69"/>
      <c r="K125" s="15"/>
    </row>
    <row r="126" spans="1:15" ht="24" x14ac:dyDescent="0.4">
      <c r="A126" s="23" t="s">
        <v>27</v>
      </c>
      <c r="B126" s="5"/>
    </row>
    <row r="127" spans="1:15" ht="43.5" customHeight="1" x14ac:dyDescent="0.35">
      <c r="A127" s="69" t="s">
        <v>142</v>
      </c>
      <c r="B127" s="69"/>
      <c r="C127" s="69"/>
      <c r="D127" s="69"/>
      <c r="E127" s="69"/>
      <c r="F127" s="69"/>
      <c r="G127" s="69"/>
      <c r="H127" s="69"/>
      <c r="I127" s="69"/>
      <c r="J127" s="69"/>
      <c r="K127" s="15"/>
    </row>
    <row r="128" spans="1:15" ht="26.25" x14ac:dyDescent="0.4">
      <c r="A128" s="71" t="s">
        <v>148</v>
      </c>
      <c r="B128" s="72"/>
      <c r="C128" s="72"/>
      <c r="D128" s="72"/>
      <c r="E128" s="72"/>
      <c r="F128" s="72"/>
      <c r="G128" s="72"/>
      <c r="H128" s="72"/>
      <c r="I128" s="72"/>
      <c r="J128" s="73"/>
      <c r="K128" s="21"/>
      <c r="L128" s="21"/>
      <c r="M128" s="21"/>
    </row>
    <row r="129" spans="1:13" ht="24" x14ac:dyDescent="0.4">
      <c r="A129" s="22" t="s">
        <v>28</v>
      </c>
      <c r="B129" s="4"/>
    </row>
    <row r="130" spans="1:13" ht="21" customHeight="1" x14ac:dyDescent="0.35">
      <c r="A130" s="69" t="s">
        <v>127</v>
      </c>
      <c r="B130" s="69"/>
      <c r="C130" s="69"/>
      <c r="D130" s="69"/>
      <c r="E130" s="69"/>
      <c r="F130" s="69"/>
      <c r="G130" s="69"/>
      <c r="H130" s="69"/>
      <c r="I130" s="69"/>
      <c r="J130" s="69"/>
      <c r="K130" s="15"/>
    </row>
    <row r="131" spans="1:13" ht="21" customHeight="1" x14ac:dyDescent="0.4">
      <c r="A131" s="22" t="s">
        <v>29</v>
      </c>
      <c r="B131" s="4"/>
    </row>
    <row r="132" spans="1:13" ht="25.5" customHeight="1" x14ac:dyDescent="0.35">
      <c r="A132" s="69" t="s">
        <v>128</v>
      </c>
      <c r="B132" s="69"/>
      <c r="C132" s="69"/>
      <c r="D132" s="69"/>
      <c r="E132" s="69"/>
      <c r="F132" s="69"/>
      <c r="G132" s="69"/>
      <c r="H132" s="69"/>
      <c r="I132" s="69"/>
      <c r="J132" s="69"/>
      <c r="K132" s="15"/>
    </row>
    <row r="133" spans="1:13" ht="24" x14ac:dyDescent="0.4">
      <c r="A133" s="22" t="s">
        <v>30</v>
      </c>
      <c r="B133" s="4"/>
    </row>
    <row r="134" spans="1:13" ht="21.75" customHeight="1" x14ac:dyDescent="0.35">
      <c r="A134" s="69" t="s">
        <v>129</v>
      </c>
      <c r="B134" s="69"/>
      <c r="C134" s="69"/>
      <c r="D134" s="69"/>
      <c r="E134" s="69"/>
      <c r="F134" s="69"/>
      <c r="G134" s="69"/>
      <c r="H134" s="69"/>
      <c r="I134" s="69"/>
      <c r="J134" s="69"/>
      <c r="K134" s="15"/>
    </row>
    <row r="135" spans="1:13" ht="21" customHeight="1" x14ac:dyDescent="0.4">
      <c r="A135" s="22" t="s">
        <v>31</v>
      </c>
      <c r="B135" s="4"/>
    </row>
    <row r="136" spans="1:13" ht="40.5" customHeight="1" x14ac:dyDescent="0.35">
      <c r="A136" s="69" t="s">
        <v>130</v>
      </c>
      <c r="B136" s="69"/>
      <c r="C136" s="69"/>
      <c r="D136" s="69"/>
      <c r="E136" s="69"/>
      <c r="F136" s="69"/>
      <c r="G136" s="69"/>
      <c r="H136" s="69"/>
      <c r="I136" s="69"/>
      <c r="J136" s="69"/>
      <c r="K136" s="15"/>
    </row>
    <row r="137" spans="1:13" ht="24" x14ac:dyDescent="0.4">
      <c r="A137" s="23" t="s">
        <v>50</v>
      </c>
      <c r="B137" s="5"/>
    </row>
    <row r="138" spans="1:13" ht="26.25" customHeight="1" x14ac:dyDescent="0.35">
      <c r="A138" s="69" t="s">
        <v>138</v>
      </c>
      <c r="B138" s="69"/>
      <c r="C138" s="69"/>
      <c r="D138" s="69"/>
      <c r="E138" s="69"/>
      <c r="F138" s="69"/>
      <c r="G138" s="69"/>
      <c r="H138" s="69"/>
      <c r="I138" s="69"/>
      <c r="J138" s="69"/>
      <c r="K138" s="15"/>
    </row>
    <row r="139" spans="1:13" ht="26.25" x14ac:dyDescent="0.4">
      <c r="A139" s="71" t="s">
        <v>149</v>
      </c>
      <c r="B139" s="72"/>
      <c r="C139" s="72"/>
      <c r="D139" s="72"/>
      <c r="E139" s="72"/>
      <c r="F139" s="72"/>
      <c r="G139" s="72"/>
      <c r="H139" s="72"/>
      <c r="I139" s="72"/>
      <c r="J139" s="73"/>
      <c r="K139" s="21"/>
      <c r="L139" s="21"/>
      <c r="M139" s="21"/>
    </row>
    <row r="140" spans="1:13" ht="24" x14ac:dyDescent="0.4">
      <c r="A140" s="23" t="s">
        <v>51</v>
      </c>
      <c r="B140" s="5"/>
    </row>
    <row r="141" spans="1:13" ht="45" customHeight="1" x14ac:dyDescent="0.35">
      <c r="A141" s="69" t="s">
        <v>143</v>
      </c>
      <c r="B141" s="69"/>
      <c r="C141" s="69"/>
      <c r="D141" s="69"/>
      <c r="E141" s="69"/>
      <c r="F141" s="69"/>
      <c r="G141" s="69"/>
      <c r="H141" s="69"/>
      <c r="I141" s="69"/>
      <c r="J141" s="69"/>
      <c r="K141" s="15"/>
    </row>
    <row r="144" spans="1:13" ht="36.75" customHeight="1" x14ac:dyDescent="0.25">
      <c r="B144" s="78" t="s">
        <v>53</v>
      </c>
      <c r="C144" s="79"/>
      <c r="D144" s="79"/>
      <c r="E144" s="80"/>
      <c r="F144" s="81" t="s">
        <v>152</v>
      </c>
      <c r="G144" s="82"/>
      <c r="H144" s="82"/>
      <c r="I144" s="82"/>
      <c r="J144" s="83"/>
    </row>
    <row r="145" spans="2:10" ht="21" x14ac:dyDescent="0.35">
      <c r="B145" s="35" t="s">
        <v>32</v>
      </c>
      <c r="C145" s="152"/>
      <c r="D145" s="152"/>
      <c r="E145" s="153"/>
      <c r="F145" s="35" t="s">
        <v>32</v>
      </c>
      <c r="G145" s="152"/>
      <c r="H145" s="152"/>
      <c r="I145" s="152"/>
      <c r="J145" s="153"/>
    </row>
    <row r="146" spans="2:10" x14ac:dyDescent="0.25">
      <c r="B146" s="48"/>
      <c r="C146" s="8"/>
      <c r="E146" s="31"/>
      <c r="F146" s="48"/>
      <c r="G146" s="8"/>
      <c r="J146" s="31"/>
    </row>
    <row r="147" spans="2:10" ht="21" x14ac:dyDescent="0.35">
      <c r="B147" s="35" t="s">
        <v>52</v>
      </c>
      <c r="C147" s="152"/>
      <c r="D147" s="152"/>
      <c r="E147" s="153"/>
      <c r="F147" s="35" t="s">
        <v>52</v>
      </c>
      <c r="G147" s="152"/>
      <c r="H147" s="152"/>
      <c r="I147" s="152"/>
      <c r="J147" s="153"/>
    </row>
    <row r="148" spans="2:10" ht="21" x14ac:dyDescent="0.35">
      <c r="B148" s="51"/>
      <c r="C148" s="158"/>
      <c r="D148" s="158"/>
      <c r="E148" s="159"/>
      <c r="F148" s="51"/>
      <c r="G148" s="154" t="s">
        <v>163</v>
      </c>
      <c r="H148" s="154"/>
      <c r="I148" s="154"/>
      <c r="J148" s="155"/>
    </row>
    <row r="149" spans="2:10" ht="31.5" customHeight="1" x14ac:dyDescent="0.35">
      <c r="B149" s="51"/>
      <c r="C149" s="77"/>
      <c r="D149" s="77"/>
      <c r="E149" s="89"/>
      <c r="F149" s="35" t="s">
        <v>160</v>
      </c>
      <c r="G149" s="152"/>
      <c r="H149" s="152"/>
      <c r="I149" s="152"/>
      <c r="J149" s="153"/>
    </row>
    <row r="150" spans="2:10" ht="42" customHeight="1" x14ac:dyDescent="0.35">
      <c r="B150" s="49"/>
      <c r="C150" s="27"/>
      <c r="D150" s="27"/>
      <c r="E150" s="32"/>
      <c r="F150" s="49"/>
      <c r="G150" s="156" t="s">
        <v>161</v>
      </c>
      <c r="H150" s="156"/>
      <c r="I150" s="156"/>
      <c r="J150" s="157"/>
    </row>
  </sheetData>
  <mergeCells count="202">
    <mergeCell ref="C148:E148"/>
    <mergeCell ref="G148:J148"/>
    <mergeCell ref="C149:E149"/>
    <mergeCell ref="G149:J149"/>
    <mergeCell ref="G150:J150"/>
    <mergeCell ref="A121:J121"/>
    <mergeCell ref="A123:J123"/>
    <mergeCell ref="A125:J125"/>
    <mergeCell ref="A127:J127"/>
    <mergeCell ref="A128:J128"/>
    <mergeCell ref="A130:J130"/>
    <mergeCell ref="A138:J138"/>
    <mergeCell ref="A139:J139"/>
    <mergeCell ref="A141:J141"/>
    <mergeCell ref="B144:E144"/>
    <mergeCell ref="F144:J144"/>
    <mergeCell ref="C145:E145"/>
    <mergeCell ref="G145:J145"/>
    <mergeCell ref="C147:E147"/>
    <mergeCell ref="G147:J147"/>
    <mergeCell ref="A110:J110"/>
    <mergeCell ref="A112:J112"/>
    <mergeCell ref="A114:J114"/>
    <mergeCell ref="A116:J116"/>
    <mergeCell ref="A117:J117"/>
    <mergeCell ref="A119:J119"/>
    <mergeCell ref="A132:J132"/>
    <mergeCell ref="A134:J134"/>
    <mergeCell ref="A136:J136"/>
    <mergeCell ref="K101:P101"/>
    <mergeCell ref="A103:J103"/>
    <mergeCell ref="A105:J105"/>
    <mergeCell ref="A106:J106"/>
    <mergeCell ref="A108:J108"/>
    <mergeCell ref="A92:J92"/>
    <mergeCell ref="A93:J93"/>
    <mergeCell ref="A95:J95"/>
    <mergeCell ref="A97:J97"/>
    <mergeCell ref="K97:Q97"/>
    <mergeCell ref="A99:J99"/>
    <mergeCell ref="A101:J101"/>
    <mergeCell ref="C81:J83"/>
    <mergeCell ref="A85:J85"/>
    <mergeCell ref="A86:J86"/>
    <mergeCell ref="A88:J88"/>
    <mergeCell ref="A90:J90"/>
    <mergeCell ref="C76:D76"/>
    <mergeCell ref="E76:F76"/>
    <mergeCell ref="G76:J76"/>
    <mergeCell ref="O76:P76"/>
    <mergeCell ref="C77:D77"/>
    <mergeCell ref="E77:F77"/>
    <mergeCell ref="G77:J77"/>
    <mergeCell ref="O77:P77"/>
    <mergeCell ref="A79:J79"/>
    <mergeCell ref="C74:F74"/>
    <mergeCell ref="G74:J74"/>
    <mergeCell ref="O74:P74"/>
    <mergeCell ref="C75:D75"/>
    <mergeCell ref="E75:F75"/>
    <mergeCell ref="G75:J75"/>
    <mergeCell ref="O75:P75"/>
    <mergeCell ref="A72:B72"/>
    <mergeCell ref="G72:J72"/>
    <mergeCell ref="O72:P72"/>
    <mergeCell ref="A73:B73"/>
    <mergeCell ref="G73:J73"/>
    <mergeCell ref="O73:P73"/>
    <mergeCell ref="A70:B70"/>
    <mergeCell ref="G70:J70"/>
    <mergeCell ref="O70:P70"/>
    <mergeCell ref="A71:B71"/>
    <mergeCell ref="G71:J71"/>
    <mergeCell ref="O71:P71"/>
    <mergeCell ref="A68:B68"/>
    <mergeCell ref="G68:J68"/>
    <mergeCell ref="O68:P68"/>
    <mergeCell ref="A69:B69"/>
    <mergeCell ref="G69:J69"/>
    <mergeCell ref="O69:P69"/>
    <mergeCell ref="A66:B66"/>
    <mergeCell ref="G66:J66"/>
    <mergeCell ref="O66:P66"/>
    <mergeCell ref="A67:B67"/>
    <mergeCell ref="G67:J67"/>
    <mergeCell ref="O67:P67"/>
    <mergeCell ref="O63:P63"/>
    <mergeCell ref="A64:B64"/>
    <mergeCell ref="G64:J64"/>
    <mergeCell ref="O64:P64"/>
    <mergeCell ref="A65:B65"/>
    <mergeCell ref="G65:J65"/>
    <mergeCell ref="O65:P65"/>
    <mergeCell ref="A62:B62"/>
    <mergeCell ref="C62:D62"/>
    <mergeCell ref="E62:F62"/>
    <mergeCell ref="G62:J62"/>
    <mergeCell ref="A63:B63"/>
    <mergeCell ref="E63:F63"/>
    <mergeCell ref="G63:J63"/>
    <mergeCell ref="A58:B58"/>
    <mergeCell ref="C58:D58"/>
    <mergeCell ref="E58:F58"/>
    <mergeCell ref="G58:J58"/>
    <mergeCell ref="A59:B59"/>
    <mergeCell ref="C59:D59"/>
    <mergeCell ref="E59:F59"/>
    <mergeCell ref="G59:J59"/>
    <mergeCell ref="A60:B60"/>
    <mergeCell ref="C60:D60"/>
    <mergeCell ref="E60:F60"/>
    <mergeCell ref="G60:J60"/>
    <mergeCell ref="A61:B61"/>
    <mergeCell ref="C61:D61"/>
    <mergeCell ref="E61:F61"/>
    <mergeCell ref="G61:J61"/>
    <mergeCell ref="A56:B56"/>
    <mergeCell ref="C56:D56"/>
    <mergeCell ref="E56:F56"/>
    <mergeCell ref="G56:J56"/>
    <mergeCell ref="A57:B57"/>
    <mergeCell ref="C57:D57"/>
    <mergeCell ref="E57:F57"/>
    <mergeCell ref="G57:J57"/>
    <mergeCell ref="A54:B54"/>
    <mergeCell ref="C54:D54"/>
    <mergeCell ref="E54:F54"/>
    <mergeCell ref="G54:J54"/>
    <mergeCell ref="A55:B55"/>
    <mergeCell ref="C55:D55"/>
    <mergeCell ref="E55:F55"/>
    <mergeCell ref="G55:J55"/>
    <mergeCell ref="A52:B52"/>
    <mergeCell ref="C52:D52"/>
    <mergeCell ref="E52:F52"/>
    <mergeCell ref="G52:J52"/>
    <mergeCell ref="A53:B53"/>
    <mergeCell ref="C53:D53"/>
    <mergeCell ref="E53:F53"/>
    <mergeCell ref="G53:J53"/>
    <mergeCell ref="A50:B50"/>
    <mergeCell ref="C50:D50"/>
    <mergeCell ref="E50:F50"/>
    <mergeCell ref="G50:J50"/>
    <mergeCell ref="A51:B51"/>
    <mergeCell ref="C51:D51"/>
    <mergeCell ref="E51:F51"/>
    <mergeCell ref="G51:J51"/>
    <mergeCell ref="A46:J46"/>
    <mergeCell ref="A48:B48"/>
    <mergeCell ref="C48:D48"/>
    <mergeCell ref="E48:F48"/>
    <mergeCell ref="G48:J48"/>
    <mergeCell ref="A49:B49"/>
    <mergeCell ref="C49:D49"/>
    <mergeCell ref="E49:F49"/>
    <mergeCell ref="G49:J49"/>
    <mergeCell ref="A42:D42"/>
    <mergeCell ref="E42:J42"/>
    <mergeCell ref="A43:D43"/>
    <mergeCell ref="E43:J43"/>
    <mergeCell ref="A44:D44"/>
    <mergeCell ref="E44:J44"/>
    <mergeCell ref="A40:D40"/>
    <mergeCell ref="E40:F40"/>
    <mergeCell ref="I40:J40"/>
    <mergeCell ref="A41:D41"/>
    <mergeCell ref="E41:F41"/>
    <mergeCell ref="I41:J41"/>
    <mergeCell ref="A36:J36"/>
    <mergeCell ref="A37:J37"/>
    <mergeCell ref="A38:D38"/>
    <mergeCell ref="E38:J38"/>
    <mergeCell ref="A39:D39"/>
    <mergeCell ref="E39:F39"/>
    <mergeCell ref="I39:J39"/>
    <mergeCell ref="B30:D30"/>
    <mergeCell ref="E30:G30"/>
    <mergeCell ref="H30:J30"/>
    <mergeCell ref="B31:D31"/>
    <mergeCell ref="A33:B33"/>
    <mergeCell ref="A34:B34"/>
    <mergeCell ref="B32:D32"/>
    <mergeCell ref="B29:D29"/>
    <mergeCell ref="E29:G29"/>
    <mergeCell ref="H29:J29"/>
    <mergeCell ref="B25:D25"/>
    <mergeCell ref="E25:G25"/>
    <mergeCell ref="H25:J25"/>
    <mergeCell ref="B26:D26"/>
    <mergeCell ref="E26:G26"/>
    <mergeCell ref="H26:J26"/>
    <mergeCell ref="C14:F14"/>
    <mergeCell ref="E20:I20"/>
    <mergeCell ref="E21:I21"/>
    <mergeCell ref="E22:I22"/>
    <mergeCell ref="A24:D24"/>
    <mergeCell ref="E24:J24"/>
    <mergeCell ref="B27:D28"/>
    <mergeCell ref="E27:G27"/>
    <mergeCell ref="H27:J28"/>
    <mergeCell ref="E28:G28"/>
  </mergeCells>
  <hyperlinks>
    <hyperlink ref="H30" r:id="rId1" xr:uid="{2605E011-341D-4B78-AA06-9800FFD1F5F9}"/>
  </hyperlinks>
  <printOptions horizontalCentered="1"/>
  <pageMargins left="0.23622047244094491" right="0.23622047244094491" top="0.74803149606299213" bottom="0.74803149606299213" header="0.31496062992125984" footer="0.31496062992125984"/>
  <pageSetup scale="42" fitToHeight="0" orientation="portrait" r:id="rId2"/>
  <rowBreaks count="2" manualBreakCount="2">
    <brk id="62" max="16383" man="1"/>
    <brk id="116"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7ADD1-7F8F-4A27-8356-BFC9C459F3CF}">
  <sheetPr>
    <pageSetUpPr fitToPage="1"/>
  </sheetPr>
  <dimension ref="A7:Q142"/>
  <sheetViews>
    <sheetView tabSelected="1" topLeftCell="A37" zoomScale="70" zoomScaleNormal="70" zoomScaleSheetLayoutView="40" workbookViewId="0">
      <selection activeCell="N45" sqref="N45"/>
    </sheetView>
  </sheetViews>
  <sheetFormatPr baseColWidth="10" defaultRowHeight="15" x14ac:dyDescent="0.25"/>
  <cols>
    <col min="1" max="1" width="63.28515625" customWidth="1"/>
    <col min="2" max="2" width="24.7109375" customWidth="1"/>
    <col min="3" max="3" width="20.140625" customWidth="1"/>
    <col min="4" max="4" width="18.42578125" customWidth="1"/>
    <col min="5" max="5" width="25" customWidth="1"/>
    <col min="6" max="6" width="22.28515625" customWidth="1"/>
    <col min="7" max="7" width="17.140625" customWidth="1"/>
    <col min="8" max="8" width="15.85546875" customWidth="1"/>
    <col min="9" max="9" width="3.7109375" customWidth="1"/>
    <col min="10" max="10" width="30.7109375" customWidth="1"/>
    <col min="11" max="11" width="14.85546875" customWidth="1"/>
    <col min="12" max="12" width="7.7109375" customWidth="1"/>
    <col min="13" max="13" width="3.42578125" customWidth="1"/>
  </cols>
  <sheetData>
    <row r="7" spans="1:11" ht="15" customHeight="1" x14ac:dyDescent="0.25"/>
    <row r="8" spans="1:11" ht="15" customHeight="1" x14ac:dyDescent="0.25">
      <c r="A8" s="1"/>
      <c r="B8" s="1"/>
      <c r="C8" s="1"/>
      <c r="D8" s="1"/>
      <c r="E8" s="1"/>
      <c r="F8" s="1"/>
      <c r="G8" s="1"/>
      <c r="H8" s="1"/>
      <c r="I8" s="1"/>
    </row>
    <row r="9" spans="1:11" ht="15" customHeight="1" x14ac:dyDescent="0.25">
      <c r="A9" s="1"/>
      <c r="B9" s="1"/>
      <c r="C9" s="1"/>
      <c r="D9" s="1"/>
      <c r="E9" s="1"/>
      <c r="F9" s="1"/>
      <c r="G9" s="1"/>
      <c r="H9" s="1"/>
      <c r="I9" s="1"/>
    </row>
    <row r="10" spans="1:11" ht="15" customHeight="1" x14ac:dyDescent="0.25">
      <c r="A10" s="1"/>
      <c r="B10" s="1"/>
      <c r="C10" s="1"/>
      <c r="D10" s="1"/>
      <c r="E10" s="1"/>
      <c r="G10" s="1"/>
      <c r="H10" s="1"/>
      <c r="I10" s="1"/>
    </row>
    <row r="11" spans="1:11" ht="15" customHeight="1" x14ac:dyDescent="0.25">
      <c r="A11" s="1"/>
      <c r="B11" s="1"/>
      <c r="C11" s="1"/>
      <c r="D11" s="1"/>
      <c r="E11" s="1"/>
      <c r="G11" s="1"/>
      <c r="H11" s="1"/>
      <c r="I11" s="1"/>
    </row>
    <row r="13" spans="1:11" ht="21" x14ac:dyDescent="0.35">
      <c r="B13" s="7"/>
      <c r="C13" s="7"/>
      <c r="D13" s="7"/>
      <c r="E13" s="7"/>
      <c r="F13" s="7"/>
      <c r="G13" s="7"/>
      <c r="H13" s="7"/>
      <c r="I13" s="7"/>
      <c r="J13" s="11"/>
      <c r="K13" s="11"/>
    </row>
    <row r="14" spans="1:11" ht="16.149999999999999" customHeight="1" x14ac:dyDescent="0.35">
      <c r="C14" s="77"/>
      <c r="D14" s="77"/>
      <c r="E14" s="77"/>
      <c r="F14" s="77"/>
      <c r="G14" s="11"/>
      <c r="H14" s="11"/>
      <c r="I14" s="11"/>
      <c r="J14" s="11"/>
      <c r="K14" s="11"/>
    </row>
    <row r="15" spans="1:11" ht="21" customHeight="1" x14ac:dyDescent="0.35">
      <c r="C15" s="15" t="s">
        <v>7</v>
      </c>
      <c r="E15" s="128" t="s">
        <v>47</v>
      </c>
      <c r="F15" s="129"/>
      <c r="G15" s="129"/>
      <c r="H15" s="129"/>
      <c r="I15" s="130"/>
      <c r="J15" s="33">
        <v>61125</v>
      </c>
      <c r="K15" s="11"/>
    </row>
    <row r="16" spans="1:11" ht="25.15" customHeight="1" x14ac:dyDescent="0.35">
      <c r="C16" s="15"/>
      <c r="E16" s="128" t="s">
        <v>48</v>
      </c>
      <c r="F16" s="129"/>
      <c r="G16" s="129"/>
      <c r="H16" s="129"/>
      <c r="I16" s="130"/>
      <c r="J16" s="33">
        <v>30558466</v>
      </c>
      <c r="K16" s="11"/>
    </row>
    <row r="17" spans="1:14" ht="21" x14ac:dyDescent="0.35">
      <c r="B17" s="11"/>
      <c r="C17" s="11"/>
      <c r="E17" s="128" t="s">
        <v>49</v>
      </c>
      <c r="F17" s="129"/>
      <c r="G17" s="129"/>
      <c r="H17" s="129"/>
      <c r="I17" s="130"/>
      <c r="J17" s="33"/>
      <c r="K17" s="11"/>
    </row>
    <row r="18" spans="1:14" ht="21" customHeight="1" x14ac:dyDescent="0.25">
      <c r="A18" s="78" t="s">
        <v>36</v>
      </c>
      <c r="B18" s="79"/>
      <c r="C18" s="79"/>
      <c r="D18" s="80"/>
      <c r="E18" s="81" t="s">
        <v>41</v>
      </c>
      <c r="F18" s="82"/>
      <c r="G18" s="82"/>
      <c r="H18" s="82"/>
      <c r="I18" s="82"/>
      <c r="J18" s="83"/>
    </row>
    <row r="19" spans="1:14" ht="21" customHeight="1" x14ac:dyDescent="0.35">
      <c r="A19" s="29" t="s">
        <v>39</v>
      </c>
      <c r="B19" s="77"/>
      <c r="C19" s="77"/>
      <c r="D19" s="89"/>
      <c r="E19" s="90" t="s">
        <v>42</v>
      </c>
      <c r="F19" s="91"/>
      <c r="G19" s="91"/>
      <c r="H19" s="70" t="s">
        <v>43</v>
      </c>
      <c r="I19" s="70"/>
      <c r="J19" s="92"/>
    </row>
    <row r="20" spans="1:14" ht="21" x14ac:dyDescent="0.35">
      <c r="A20" s="29" t="s">
        <v>38</v>
      </c>
      <c r="B20" s="77"/>
      <c r="C20" s="77"/>
      <c r="D20" s="89"/>
      <c r="E20" s="84" t="s">
        <v>44</v>
      </c>
      <c r="F20" s="85"/>
      <c r="G20" s="85"/>
      <c r="H20" s="91" t="s">
        <v>165</v>
      </c>
      <c r="I20" s="91"/>
      <c r="J20" s="93"/>
    </row>
    <row r="21" spans="1:14" ht="21" customHeight="1" x14ac:dyDescent="0.35">
      <c r="A21" s="29" t="s">
        <v>0</v>
      </c>
      <c r="B21" s="115"/>
      <c r="C21" s="115"/>
      <c r="D21" s="116"/>
      <c r="E21" s="84" t="s">
        <v>0</v>
      </c>
      <c r="F21" s="85"/>
      <c r="G21" s="85"/>
      <c r="H21" s="69" t="s">
        <v>162</v>
      </c>
      <c r="I21" s="69"/>
      <c r="J21" s="86"/>
      <c r="L21" s="6"/>
    </row>
    <row r="22" spans="1:14" ht="16.149999999999999" customHeight="1" x14ac:dyDescent="0.25">
      <c r="A22" s="36" t="s">
        <v>34</v>
      </c>
      <c r="B22" s="115"/>
      <c r="C22" s="115"/>
      <c r="D22" s="116"/>
      <c r="E22" s="87" t="s">
        <v>34</v>
      </c>
      <c r="F22" s="88"/>
      <c r="G22" s="88"/>
      <c r="H22" s="69"/>
      <c r="I22" s="69"/>
      <c r="J22" s="86"/>
      <c r="L22" s="6"/>
    </row>
    <row r="23" spans="1:14" ht="19.149999999999999" customHeight="1" x14ac:dyDescent="0.35">
      <c r="A23" s="29" t="s">
        <v>1</v>
      </c>
      <c r="B23" s="77"/>
      <c r="C23" s="77"/>
      <c r="D23" s="89"/>
      <c r="E23" s="84" t="s">
        <v>1</v>
      </c>
      <c r="F23" s="85"/>
      <c r="G23" s="85"/>
      <c r="H23" s="69" t="s">
        <v>94</v>
      </c>
      <c r="I23" s="69"/>
      <c r="J23" s="86"/>
      <c r="L23" s="3"/>
    </row>
    <row r="24" spans="1:14" ht="22.15" customHeight="1" x14ac:dyDescent="0.35">
      <c r="A24" s="29" t="s">
        <v>2</v>
      </c>
      <c r="B24" s="117"/>
      <c r="C24" s="118"/>
      <c r="D24" s="119"/>
      <c r="E24" s="29" t="s">
        <v>2</v>
      </c>
      <c r="F24" s="143" t="s">
        <v>95</v>
      </c>
      <c r="G24" s="143"/>
      <c r="H24" s="143"/>
      <c r="I24" s="143"/>
      <c r="J24" s="144"/>
      <c r="L24" s="2"/>
    </row>
    <row r="25" spans="1:14" ht="23.45" customHeight="1" x14ac:dyDescent="0.35">
      <c r="A25" s="55" t="s">
        <v>37</v>
      </c>
      <c r="B25" s="138"/>
      <c r="C25" s="139"/>
      <c r="D25" s="140"/>
      <c r="E25" s="30"/>
      <c r="F25" s="13"/>
      <c r="J25" s="31"/>
      <c r="K25" s="11"/>
    </row>
    <row r="26" spans="1:14" ht="23.45" customHeight="1" x14ac:dyDescent="0.35">
      <c r="A26" s="29"/>
      <c r="B26" s="124"/>
      <c r="C26" s="124"/>
      <c r="D26" s="125"/>
      <c r="E26" s="30"/>
      <c r="F26" s="13"/>
      <c r="J26" s="31"/>
      <c r="K26" s="11"/>
    </row>
    <row r="27" spans="1:14" ht="42" customHeight="1" x14ac:dyDescent="0.35">
      <c r="A27" s="67" t="s">
        <v>35</v>
      </c>
      <c r="B27" s="68"/>
      <c r="C27" s="42" t="s">
        <v>86</v>
      </c>
      <c r="D27" s="59"/>
      <c r="E27" s="11"/>
      <c r="F27" s="13"/>
      <c r="J27" s="31"/>
      <c r="K27" s="11"/>
    </row>
    <row r="28" spans="1:14" ht="61.15" customHeight="1" x14ac:dyDescent="0.35">
      <c r="A28" s="52" t="s">
        <v>33</v>
      </c>
      <c r="B28" s="53"/>
      <c r="C28" s="42" t="s">
        <v>86</v>
      </c>
      <c r="D28" s="59"/>
      <c r="E28" s="11"/>
    </row>
    <row r="29" spans="1:14" ht="23.45" customHeight="1" x14ac:dyDescent="0.35">
      <c r="A29" s="141" t="s">
        <v>159</v>
      </c>
      <c r="B29" s="141"/>
      <c r="C29" s="141"/>
      <c r="D29" s="142"/>
    </row>
    <row r="30" spans="1:14" ht="33" customHeight="1" x14ac:dyDescent="0.25">
      <c r="A30" s="76" t="s">
        <v>81</v>
      </c>
      <c r="B30" s="76"/>
      <c r="C30" s="76"/>
      <c r="D30" s="76"/>
      <c r="E30" s="76"/>
      <c r="F30" s="76"/>
      <c r="G30" s="76"/>
      <c r="H30" s="76"/>
      <c r="I30" s="76"/>
      <c r="J30" s="76"/>
      <c r="K30" s="17"/>
      <c r="L30" s="17"/>
      <c r="M30" s="17"/>
      <c r="N30" s="17"/>
    </row>
    <row r="31" spans="1:14" ht="36" customHeight="1" thickBot="1" x14ac:dyDescent="0.35">
      <c r="A31" s="131" t="s">
        <v>90</v>
      </c>
      <c r="B31" s="132"/>
      <c r="C31" s="132"/>
      <c r="D31" s="132"/>
      <c r="E31" s="132"/>
      <c r="F31" s="132"/>
      <c r="G31" s="132"/>
      <c r="H31" s="132"/>
      <c r="I31" s="132"/>
      <c r="J31" s="133"/>
      <c r="K31" s="20"/>
      <c r="L31" s="20"/>
      <c r="M31" s="20"/>
      <c r="N31" s="20"/>
    </row>
    <row r="32" spans="1:14" ht="21.75" thickBot="1" x14ac:dyDescent="0.4">
      <c r="A32" s="63" t="s">
        <v>3</v>
      </c>
      <c r="B32" s="64"/>
      <c r="C32" s="64"/>
      <c r="D32" s="64"/>
      <c r="E32" s="96"/>
      <c r="F32" s="96"/>
      <c r="G32" s="96"/>
      <c r="H32" s="96"/>
      <c r="I32" s="96"/>
      <c r="J32" s="97"/>
      <c r="K32" s="11"/>
    </row>
    <row r="33" spans="1:14" ht="46.15" customHeight="1" thickBot="1" x14ac:dyDescent="0.4">
      <c r="A33" s="134" t="s">
        <v>98</v>
      </c>
      <c r="B33" s="135"/>
      <c r="C33" s="135"/>
      <c r="D33" s="145"/>
      <c r="E33" s="65" t="s">
        <v>102</v>
      </c>
      <c r="F33" s="66"/>
      <c r="G33" s="38"/>
      <c r="H33" s="54" t="s">
        <v>103</v>
      </c>
      <c r="I33" s="120"/>
      <c r="J33" s="99"/>
      <c r="K33" s="11"/>
    </row>
    <row r="34" spans="1:14" ht="40.15" customHeight="1" thickBot="1" x14ac:dyDescent="0.4">
      <c r="A34" s="60" t="s">
        <v>96</v>
      </c>
      <c r="B34" s="61"/>
      <c r="C34" s="61"/>
      <c r="D34" s="62"/>
      <c r="E34" s="65" t="s">
        <v>104</v>
      </c>
      <c r="F34" s="66"/>
      <c r="G34" s="38"/>
      <c r="H34" s="54" t="s">
        <v>105</v>
      </c>
      <c r="I34" s="120"/>
      <c r="J34" s="99"/>
      <c r="K34" s="11"/>
    </row>
    <row r="35" spans="1:14" ht="58.9" customHeight="1" thickBot="1" x14ac:dyDescent="0.4">
      <c r="A35" s="134" t="s">
        <v>97</v>
      </c>
      <c r="B35" s="135"/>
      <c r="C35" s="135"/>
      <c r="D35" s="145"/>
      <c r="E35" s="65" t="s">
        <v>106</v>
      </c>
      <c r="F35" s="66"/>
      <c r="G35" s="38"/>
      <c r="H35" s="54" t="s">
        <v>107</v>
      </c>
      <c r="I35" s="120"/>
      <c r="J35" s="99"/>
      <c r="K35" s="11"/>
    </row>
    <row r="36" spans="1:14" ht="24" customHeight="1" thickBot="1" x14ac:dyDescent="0.4">
      <c r="A36" s="136" t="s">
        <v>99</v>
      </c>
      <c r="B36" s="137"/>
      <c r="C36" s="137"/>
      <c r="D36" s="137"/>
      <c r="E36" s="98"/>
      <c r="F36" s="98"/>
      <c r="G36" s="98"/>
      <c r="H36" s="98"/>
      <c r="I36" s="98"/>
      <c r="J36" s="99"/>
      <c r="K36" s="11"/>
    </row>
    <row r="37" spans="1:14" ht="39" customHeight="1" thickBot="1" x14ac:dyDescent="0.4">
      <c r="A37" s="134" t="s">
        <v>100</v>
      </c>
      <c r="B37" s="135"/>
      <c r="C37" s="135"/>
      <c r="D37" s="135"/>
      <c r="E37" s="98"/>
      <c r="F37" s="98"/>
      <c r="G37" s="98"/>
      <c r="H37" s="98"/>
      <c r="I37" s="98"/>
      <c r="J37" s="99"/>
      <c r="K37" s="13"/>
    </row>
    <row r="38" spans="1:14" ht="22.15" customHeight="1" thickBot="1" x14ac:dyDescent="0.4">
      <c r="A38" s="136" t="s">
        <v>101</v>
      </c>
      <c r="B38" s="137"/>
      <c r="C38" s="137"/>
      <c r="D38" s="137"/>
      <c r="E38" s="98"/>
      <c r="F38" s="98"/>
      <c r="G38" s="98"/>
      <c r="H38" s="98"/>
      <c r="I38" s="98"/>
      <c r="J38" s="99"/>
      <c r="K38" s="11"/>
    </row>
    <row r="39" spans="1:14" ht="30" customHeight="1" x14ac:dyDescent="0.25">
      <c r="A39" s="76" t="s">
        <v>110</v>
      </c>
      <c r="B39" s="76"/>
      <c r="C39" s="76"/>
      <c r="D39" s="76"/>
      <c r="E39" s="76"/>
      <c r="F39" s="76"/>
      <c r="G39" s="76"/>
      <c r="H39" s="76"/>
      <c r="I39" s="76"/>
      <c r="J39" s="76"/>
      <c r="K39" s="17"/>
      <c r="L39" s="17"/>
      <c r="M39" s="17"/>
      <c r="N39" s="16"/>
    </row>
    <row r="40" spans="1:14" ht="43.15" customHeight="1" x14ac:dyDescent="0.35">
      <c r="A40" s="94" t="s">
        <v>4</v>
      </c>
      <c r="B40" s="95"/>
      <c r="C40" s="94" t="s">
        <v>54</v>
      </c>
      <c r="D40" s="95"/>
      <c r="E40" s="94" t="s">
        <v>84</v>
      </c>
      <c r="F40" s="95"/>
      <c r="G40" s="94" t="s">
        <v>5</v>
      </c>
      <c r="H40" s="107"/>
      <c r="I40" s="107"/>
      <c r="J40" s="95"/>
    </row>
    <row r="41" spans="1:14" ht="36" customHeight="1" x14ac:dyDescent="0.35">
      <c r="A41" s="104" t="s">
        <v>62</v>
      </c>
      <c r="B41" s="105"/>
      <c r="C41" s="101"/>
      <c r="D41" s="101"/>
      <c r="E41" s="101"/>
      <c r="F41" s="101"/>
      <c r="G41" s="101"/>
      <c r="H41" s="101"/>
      <c r="I41" s="101"/>
      <c r="J41" s="101"/>
    </row>
    <row r="42" spans="1:14" ht="39.6" customHeight="1" x14ac:dyDescent="0.35">
      <c r="A42" s="102" t="s">
        <v>83</v>
      </c>
      <c r="B42" s="102"/>
      <c r="C42" s="100">
        <v>425</v>
      </c>
      <c r="D42" s="100"/>
      <c r="E42" s="100">
        <v>1</v>
      </c>
      <c r="F42" s="100"/>
      <c r="G42" s="75">
        <f>C42*E42</f>
        <v>425</v>
      </c>
      <c r="H42" s="75"/>
      <c r="I42" s="75"/>
      <c r="J42" s="75"/>
    </row>
    <row r="43" spans="1:14" ht="18.600000000000001" customHeight="1" x14ac:dyDescent="0.35">
      <c r="A43" s="102" t="s">
        <v>58</v>
      </c>
      <c r="B43" s="102"/>
      <c r="C43" s="100">
        <v>0</v>
      </c>
      <c r="D43" s="100"/>
      <c r="E43" s="100">
        <v>1</v>
      </c>
      <c r="F43" s="100"/>
      <c r="G43" s="75">
        <f>C43*E43</f>
        <v>0</v>
      </c>
      <c r="H43" s="75"/>
      <c r="I43" s="75"/>
      <c r="J43" s="75"/>
    </row>
    <row r="44" spans="1:14" ht="29.25" customHeight="1" x14ac:dyDescent="0.35">
      <c r="A44" s="104" t="s">
        <v>59</v>
      </c>
      <c r="B44" s="105"/>
      <c r="C44" s="101"/>
      <c r="D44" s="101"/>
      <c r="E44" s="101"/>
      <c r="F44" s="101"/>
      <c r="G44" s="101"/>
      <c r="H44" s="101"/>
      <c r="I44" s="101"/>
      <c r="J44" s="101"/>
    </row>
    <row r="45" spans="1:14" ht="21" x14ac:dyDescent="0.35">
      <c r="A45" s="103" t="s">
        <v>55</v>
      </c>
      <c r="B45" s="103"/>
      <c r="C45" s="100"/>
      <c r="D45" s="100"/>
      <c r="E45" s="100"/>
      <c r="F45" s="100"/>
      <c r="G45" s="75">
        <f>C45*E45</f>
        <v>0</v>
      </c>
      <c r="H45" s="75"/>
      <c r="I45" s="75"/>
      <c r="J45" s="75"/>
    </row>
    <row r="46" spans="1:14" ht="21" customHeight="1" x14ac:dyDescent="0.35">
      <c r="A46" s="102" t="s">
        <v>56</v>
      </c>
      <c r="B46" s="102"/>
      <c r="C46" s="100"/>
      <c r="D46" s="100"/>
      <c r="E46" s="100"/>
      <c r="F46" s="100"/>
      <c r="G46" s="75">
        <f>C46*E46</f>
        <v>0</v>
      </c>
      <c r="H46" s="75"/>
      <c r="I46" s="75"/>
      <c r="J46" s="75"/>
    </row>
    <row r="47" spans="1:14" ht="21" x14ac:dyDescent="0.35">
      <c r="A47" s="102" t="s">
        <v>57</v>
      </c>
      <c r="B47" s="102"/>
      <c r="C47" s="100"/>
      <c r="D47" s="100"/>
      <c r="E47" s="100"/>
      <c r="F47" s="100"/>
      <c r="G47" s="75">
        <f>C47*E47</f>
        <v>0</v>
      </c>
      <c r="H47" s="75"/>
      <c r="I47" s="75"/>
      <c r="J47" s="75"/>
    </row>
    <row r="48" spans="1:14" ht="21" x14ac:dyDescent="0.35">
      <c r="A48" s="102" t="s">
        <v>63</v>
      </c>
      <c r="B48" s="102"/>
      <c r="C48" s="100"/>
      <c r="D48" s="100"/>
      <c r="E48" s="100"/>
      <c r="F48" s="100"/>
      <c r="G48" s="75">
        <f>C48*E48</f>
        <v>0</v>
      </c>
      <c r="H48" s="75"/>
      <c r="I48" s="75"/>
      <c r="J48" s="75"/>
    </row>
    <row r="49" spans="1:16" ht="21" x14ac:dyDescent="0.35">
      <c r="A49" s="74" t="s">
        <v>60</v>
      </c>
      <c r="B49" s="74"/>
      <c r="C49" s="100"/>
      <c r="D49" s="100"/>
      <c r="E49" s="100"/>
      <c r="F49" s="100"/>
      <c r="G49" s="75">
        <f t="shared" ref="G49:G52" si="0">C49*E49</f>
        <v>0</v>
      </c>
      <c r="H49" s="75"/>
      <c r="I49" s="75"/>
      <c r="J49" s="75"/>
    </row>
    <row r="50" spans="1:16" ht="21" x14ac:dyDescent="0.35">
      <c r="A50" s="74" t="s">
        <v>61</v>
      </c>
      <c r="B50" s="74"/>
      <c r="C50" s="100"/>
      <c r="D50" s="100"/>
      <c r="E50" s="100"/>
      <c r="F50" s="100"/>
      <c r="G50" s="75">
        <f>C50*E50</f>
        <v>0</v>
      </c>
      <c r="H50" s="75"/>
      <c r="I50" s="75"/>
      <c r="J50" s="75"/>
    </row>
    <row r="51" spans="1:16" ht="21" customHeight="1" x14ac:dyDescent="0.35">
      <c r="A51" s="102" t="s">
        <v>91</v>
      </c>
      <c r="B51" s="102"/>
      <c r="C51" s="100"/>
      <c r="D51" s="100"/>
      <c r="E51" s="100"/>
      <c r="F51" s="100"/>
      <c r="G51" s="75">
        <f t="shared" si="0"/>
        <v>0</v>
      </c>
      <c r="H51" s="75"/>
      <c r="I51" s="75"/>
      <c r="J51" s="75"/>
    </row>
    <row r="52" spans="1:16" ht="21" x14ac:dyDescent="0.35">
      <c r="A52" s="126" t="s">
        <v>109</v>
      </c>
      <c r="B52" s="127"/>
      <c r="C52" s="123"/>
      <c r="D52" s="123"/>
      <c r="E52" s="123"/>
      <c r="F52" s="123"/>
      <c r="G52" s="121">
        <f t="shared" si="0"/>
        <v>0</v>
      </c>
      <c r="H52" s="122"/>
      <c r="I52" s="122"/>
      <c r="J52" s="122"/>
    </row>
    <row r="53" spans="1:16" ht="43.5" customHeight="1" x14ac:dyDescent="0.35">
      <c r="A53" s="94" t="s">
        <v>108</v>
      </c>
      <c r="B53" s="95"/>
      <c r="C53" s="40" t="s">
        <v>6</v>
      </c>
      <c r="D53" s="41" t="s">
        <v>64</v>
      </c>
      <c r="E53" s="94" t="s">
        <v>65</v>
      </c>
      <c r="F53" s="95" t="s">
        <v>66</v>
      </c>
      <c r="G53" s="94" t="s">
        <v>5</v>
      </c>
      <c r="H53" s="107"/>
      <c r="I53" s="107"/>
      <c r="J53" s="95"/>
      <c r="L53" s="11"/>
      <c r="O53" s="77"/>
      <c r="P53" s="77"/>
    </row>
    <row r="54" spans="1:16" ht="21" x14ac:dyDescent="0.35">
      <c r="A54" s="108" t="s">
        <v>111</v>
      </c>
      <c r="B54" s="109"/>
      <c r="C54" s="18"/>
      <c r="D54" s="18"/>
      <c r="E54" s="58"/>
      <c r="F54" s="19"/>
      <c r="G54" s="75">
        <f t="shared" ref="G54:G63" si="1">D54*C54</f>
        <v>0</v>
      </c>
      <c r="H54" s="75"/>
      <c r="I54" s="75"/>
      <c r="J54" s="75"/>
      <c r="O54" s="106"/>
      <c r="P54" s="106"/>
    </row>
    <row r="55" spans="1:16" ht="21" x14ac:dyDescent="0.35">
      <c r="A55" s="108" t="s">
        <v>112</v>
      </c>
      <c r="B55" s="109"/>
      <c r="C55" s="18"/>
      <c r="D55" s="18"/>
      <c r="E55" s="19"/>
      <c r="F55" s="19"/>
      <c r="G55" s="75">
        <f t="shared" si="1"/>
        <v>0</v>
      </c>
      <c r="H55" s="75"/>
      <c r="I55" s="75"/>
      <c r="J55" s="75"/>
      <c r="O55" s="106"/>
      <c r="P55" s="106"/>
    </row>
    <row r="56" spans="1:16" ht="21" x14ac:dyDescent="0.35">
      <c r="A56" s="108" t="s">
        <v>113</v>
      </c>
      <c r="B56" s="109"/>
      <c r="C56" s="18"/>
      <c r="D56" s="18"/>
      <c r="E56" s="19"/>
      <c r="F56" s="19"/>
      <c r="G56" s="75">
        <f t="shared" si="1"/>
        <v>0</v>
      </c>
      <c r="H56" s="75"/>
      <c r="I56" s="75"/>
      <c r="J56" s="75"/>
      <c r="O56" s="106"/>
      <c r="P56" s="106"/>
    </row>
    <row r="57" spans="1:16" ht="21" x14ac:dyDescent="0.35">
      <c r="A57" s="108" t="s">
        <v>68</v>
      </c>
      <c r="B57" s="109"/>
      <c r="C57" s="18"/>
      <c r="D57" s="18"/>
      <c r="E57" s="19"/>
      <c r="F57" s="19"/>
      <c r="G57" s="75">
        <f t="shared" si="1"/>
        <v>0</v>
      </c>
      <c r="H57" s="75"/>
      <c r="I57" s="75"/>
      <c r="J57" s="75"/>
      <c r="O57" s="106"/>
      <c r="P57" s="106"/>
    </row>
    <row r="58" spans="1:16" ht="21" x14ac:dyDescent="0.35">
      <c r="A58" s="108" t="s">
        <v>114</v>
      </c>
      <c r="B58" s="109"/>
      <c r="C58" s="18"/>
      <c r="D58" s="18"/>
      <c r="E58" s="58"/>
      <c r="F58" s="19"/>
      <c r="G58" s="75">
        <f t="shared" si="1"/>
        <v>0</v>
      </c>
      <c r="H58" s="75"/>
      <c r="I58" s="75"/>
      <c r="J58" s="75"/>
      <c r="O58" s="106"/>
      <c r="P58" s="106"/>
    </row>
    <row r="59" spans="1:16" ht="21" x14ac:dyDescent="0.35">
      <c r="A59" s="103" t="s">
        <v>115</v>
      </c>
      <c r="B59" s="103"/>
      <c r="C59" s="18"/>
      <c r="D59" s="18"/>
      <c r="E59" s="19"/>
      <c r="F59" s="19"/>
      <c r="G59" s="75">
        <f t="shared" si="1"/>
        <v>0</v>
      </c>
      <c r="H59" s="75"/>
      <c r="I59" s="75"/>
      <c r="J59" s="75"/>
      <c r="O59" s="106"/>
      <c r="P59" s="106"/>
    </row>
    <row r="60" spans="1:16" ht="21" x14ac:dyDescent="0.35">
      <c r="A60" s="108" t="s">
        <v>116</v>
      </c>
      <c r="B60" s="109"/>
      <c r="C60" s="18"/>
      <c r="D60" s="18"/>
      <c r="E60" s="19"/>
      <c r="F60" s="19"/>
      <c r="G60" s="75">
        <f t="shared" si="1"/>
        <v>0</v>
      </c>
      <c r="H60" s="75"/>
      <c r="I60" s="75"/>
      <c r="J60" s="75"/>
      <c r="O60" s="106"/>
      <c r="P60" s="106"/>
    </row>
    <row r="61" spans="1:16" ht="21" x14ac:dyDescent="0.35">
      <c r="A61" s="103" t="s">
        <v>67</v>
      </c>
      <c r="B61" s="103"/>
      <c r="C61" s="18"/>
      <c r="D61" s="18"/>
      <c r="E61" s="19"/>
      <c r="F61" s="19"/>
      <c r="G61" s="75">
        <f t="shared" si="1"/>
        <v>0</v>
      </c>
      <c r="H61" s="75"/>
      <c r="I61" s="75"/>
      <c r="J61" s="75"/>
      <c r="O61" s="106"/>
      <c r="P61" s="106"/>
    </row>
    <row r="62" spans="1:16" ht="21" x14ac:dyDescent="0.35">
      <c r="A62" s="103" t="s">
        <v>117</v>
      </c>
      <c r="B62" s="103"/>
      <c r="C62" s="18"/>
      <c r="D62" s="18"/>
      <c r="E62" s="19"/>
      <c r="F62" s="19"/>
      <c r="G62" s="75">
        <f t="shared" si="1"/>
        <v>0</v>
      </c>
      <c r="H62" s="75"/>
      <c r="I62" s="75"/>
      <c r="J62" s="75"/>
      <c r="O62" s="106"/>
      <c r="P62" s="106"/>
    </row>
    <row r="63" spans="1:16" ht="21" x14ac:dyDescent="0.35">
      <c r="A63" s="103" t="s">
        <v>118</v>
      </c>
      <c r="B63" s="103"/>
      <c r="C63" s="45"/>
      <c r="D63" s="45"/>
      <c r="E63" s="46"/>
      <c r="F63" s="46"/>
      <c r="G63" s="114">
        <f t="shared" si="1"/>
        <v>0</v>
      </c>
      <c r="H63" s="114"/>
      <c r="I63" s="114"/>
      <c r="J63" s="114"/>
      <c r="O63" s="106"/>
      <c r="P63" s="106"/>
    </row>
    <row r="64" spans="1:16" ht="21" x14ac:dyDescent="0.35">
      <c r="A64" s="11"/>
      <c r="B64" s="11"/>
      <c r="C64" s="112" t="s">
        <v>25</v>
      </c>
      <c r="D64" s="113"/>
      <c r="E64" s="113"/>
      <c r="F64" s="113"/>
      <c r="G64" s="110">
        <f>SUM(G42:J43,G45:J52,G54:J63)</f>
        <v>425</v>
      </c>
      <c r="H64" s="110"/>
      <c r="I64" s="110"/>
      <c r="J64" s="111"/>
      <c r="O64" s="106"/>
      <c r="P64" s="106"/>
    </row>
    <row r="65" spans="1:16" ht="21" x14ac:dyDescent="0.35">
      <c r="A65" s="11"/>
      <c r="B65" s="11"/>
      <c r="C65" s="128" t="s">
        <v>40</v>
      </c>
      <c r="D65" s="129"/>
      <c r="E65" s="149">
        <v>0.05</v>
      </c>
      <c r="F65" s="149"/>
      <c r="G65" s="110">
        <f>(G64*5/100)</f>
        <v>21.25</v>
      </c>
      <c r="H65" s="110"/>
      <c r="I65" s="110"/>
      <c r="J65" s="111"/>
      <c r="O65" s="106"/>
      <c r="P65" s="106"/>
    </row>
    <row r="66" spans="1:16" ht="21" x14ac:dyDescent="0.35">
      <c r="A66" s="11"/>
      <c r="B66" s="11"/>
      <c r="C66" s="128" t="s">
        <v>24</v>
      </c>
      <c r="D66" s="129"/>
      <c r="E66" s="150">
        <v>9.9750000000000005E-2</v>
      </c>
      <c r="F66" s="150"/>
      <c r="G66" s="110">
        <f>(G64*9.975/100)</f>
        <v>42.393749999999997</v>
      </c>
      <c r="H66" s="110"/>
      <c r="I66" s="110"/>
      <c r="J66" s="111"/>
      <c r="O66" s="106"/>
      <c r="P66" s="106"/>
    </row>
    <row r="67" spans="1:16" ht="26.25" x14ac:dyDescent="0.4">
      <c r="A67" s="11"/>
      <c r="B67" s="11"/>
      <c r="C67" s="128" t="s">
        <v>92</v>
      </c>
      <c r="D67" s="129"/>
      <c r="E67" s="113"/>
      <c r="F67" s="113"/>
      <c r="G67" s="110">
        <f>G64+G65+G66</f>
        <v>488.64375000000001</v>
      </c>
      <c r="H67" s="110"/>
      <c r="I67" s="110"/>
      <c r="J67" s="111"/>
      <c r="K67" s="21"/>
      <c r="O67" s="106"/>
      <c r="P67" s="106"/>
    </row>
    <row r="68" spans="1:16" ht="26.25" x14ac:dyDescent="0.4">
      <c r="A68" s="11"/>
      <c r="B68" s="11"/>
      <c r="C68" s="11"/>
      <c r="D68" s="11"/>
      <c r="E68" s="25"/>
      <c r="F68" s="25"/>
      <c r="G68" s="12"/>
      <c r="H68" s="12"/>
      <c r="J68" s="21"/>
      <c r="K68" s="21"/>
    </row>
    <row r="69" spans="1:16" s="47" customFormat="1" ht="35.25" customHeight="1" x14ac:dyDescent="0.25">
      <c r="A69" s="76" t="s">
        <v>89</v>
      </c>
      <c r="B69" s="148"/>
      <c r="C69" s="148"/>
      <c r="D69" s="148"/>
      <c r="E69" s="148"/>
      <c r="F69" s="148"/>
      <c r="G69" s="148"/>
      <c r="H69" s="148"/>
      <c r="I69" s="148"/>
      <c r="J69" s="148"/>
    </row>
    <row r="70" spans="1:16" ht="14.45" customHeight="1" x14ac:dyDescent="0.4">
      <c r="A70" s="11"/>
      <c r="B70" s="11"/>
      <c r="C70" s="11"/>
      <c r="D70" s="11"/>
      <c r="E70" s="25"/>
      <c r="F70" s="25"/>
      <c r="G70" s="12"/>
      <c r="H70" s="12"/>
      <c r="J70" s="21"/>
      <c r="K70" s="21"/>
    </row>
    <row r="71" spans="1:16" ht="25.9" customHeight="1" x14ac:dyDescent="0.35">
      <c r="A71" s="18" t="s">
        <v>69</v>
      </c>
      <c r="B71" s="28">
        <f>G67/2</f>
        <v>244.32187500000001</v>
      </c>
      <c r="C71" s="151" t="s">
        <v>119</v>
      </c>
      <c r="D71" s="151"/>
      <c r="E71" s="151"/>
      <c r="F71" s="151"/>
      <c r="G71" s="151"/>
      <c r="H71" s="151"/>
      <c r="I71" s="151"/>
      <c r="J71" s="151"/>
      <c r="K71" s="26"/>
    </row>
    <row r="72" spans="1:16" ht="25.9" customHeight="1" x14ac:dyDescent="0.35">
      <c r="A72" s="37" t="s">
        <v>70</v>
      </c>
      <c r="B72" s="19"/>
      <c r="C72" s="151"/>
      <c r="D72" s="151"/>
      <c r="E72" s="151"/>
      <c r="F72" s="151"/>
      <c r="G72" s="151"/>
      <c r="H72" s="151"/>
      <c r="I72" s="151"/>
      <c r="J72" s="151"/>
      <c r="K72" s="26"/>
    </row>
    <row r="73" spans="1:16" ht="178.5" customHeight="1" x14ac:dyDescent="0.35">
      <c r="A73" s="11"/>
      <c r="C73" s="151"/>
      <c r="D73" s="151"/>
      <c r="E73" s="151"/>
      <c r="F73" s="151"/>
      <c r="G73" s="151"/>
      <c r="H73" s="151"/>
      <c r="I73" s="151"/>
      <c r="J73" s="151"/>
      <c r="K73" s="26"/>
    </row>
    <row r="74" spans="1:16" ht="21.75" customHeight="1" x14ac:dyDescent="0.25"/>
    <row r="75" spans="1:16" ht="38.25" customHeight="1" x14ac:dyDescent="0.4">
      <c r="A75" s="76" t="s">
        <v>121</v>
      </c>
      <c r="B75" s="76"/>
      <c r="C75" s="76"/>
      <c r="D75" s="76"/>
      <c r="E75" s="76"/>
      <c r="F75" s="76"/>
      <c r="G75" s="76"/>
      <c r="H75" s="76"/>
      <c r="I75" s="76"/>
      <c r="J75" s="76"/>
      <c r="K75" s="21"/>
      <c r="L75" s="21"/>
      <c r="M75" s="21"/>
    </row>
    <row r="76" spans="1:16" ht="26.25" x14ac:dyDescent="0.4">
      <c r="A76" s="71" t="s">
        <v>144</v>
      </c>
      <c r="B76" s="72"/>
      <c r="C76" s="72"/>
      <c r="D76" s="72"/>
      <c r="E76" s="72"/>
      <c r="F76" s="72"/>
      <c r="G76" s="72"/>
      <c r="H76" s="72"/>
      <c r="I76" s="72"/>
      <c r="J76" s="73"/>
      <c r="K76" s="21"/>
      <c r="L76" s="21"/>
      <c r="M76" s="21"/>
    </row>
    <row r="77" spans="1:16" ht="21" customHeight="1" x14ac:dyDescent="0.4">
      <c r="A77" s="22" t="s">
        <v>8</v>
      </c>
      <c r="B77" s="4"/>
      <c r="C77" s="2"/>
      <c r="D77" s="2"/>
      <c r="E77" s="2"/>
      <c r="F77" s="2"/>
      <c r="G77" s="2"/>
    </row>
    <row r="78" spans="1:16" ht="21" customHeight="1" x14ac:dyDescent="0.35">
      <c r="A78" s="69" t="s">
        <v>122</v>
      </c>
      <c r="B78" s="69"/>
      <c r="C78" s="69"/>
      <c r="D78" s="69"/>
      <c r="E78" s="69"/>
      <c r="F78" s="69"/>
      <c r="G78" s="69"/>
      <c r="H78" s="69"/>
      <c r="I78" s="69"/>
      <c r="J78" s="69"/>
      <c r="K78" s="15"/>
      <c r="L78" s="3"/>
      <c r="M78" s="3"/>
      <c r="N78" s="3"/>
      <c r="O78" s="3"/>
    </row>
    <row r="79" spans="1:16" ht="21" customHeight="1" x14ac:dyDescent="0.4">
      <c r="A79" s="22" t="s">
        <v>9</v>
      </c>
      <c r="B79" s="4"/>
      <c r="C79" s="2"/>
      <c r="D79" s="2"/>
      <c r="E79" s="2"/>
      <c r="F79" s="2"/>
      <c r="G79" s="2"/>
      <c r="K79" s="2"/>
      <c r="L79" s="2"/>
      <c r="M79" s="2"/>
      <c r="N79" s="2"/>
      <c r="O79" s="2"/>
    </row>
    <row r="80" spans="1:16" s="8" customFormat="1" ht="46.15" customHeight="1" x14ac:dyDescent="0.35">
      <c r="A80" s="69" t="s">
        <v>123</v>
      </c>
      <c r="B80" s="69"/>
      <c r="C80" s="69"/>
      <c r="D80" s="69"/>
      <c r="E80" s="69"/>
      <c r="F80" s="69"/>
      <c r="G80" s="69"/>
      <c r="H80" s="69"/>
      <c r="I80" s="69"/>
      <c r="J80" s="69"/>
      <c r="K80" s="15"/>
      <c r="L80" s="9"/>
      <c r="M80" s="9"/>
      <c r="N80" s="9"/>
      <c r="O80" s="9"/>
    </row>
    <row r="81" spans="1:17" ht="24" x14ac:dyDescent="0.4">
      <c r="A81" s="22" t="s">
        <v>10</v>
      </c>
      <c r="B81" s="4"/>
      <c r="C81" s="2"/>
      <c r="D81" s="2"/>
      <c r="E81" s="2"/>
      <c r="F81" s="2"/>
      <c r="G81" s="2"/>
      <c r="K81" s="3"/>
      <c r="L81" s="3"/>
      <c r="M81" s="3"/>
      <c r="N81" s="3"/>
      <c r="O81" s="3"/>
    </row>
    <row r="82" spans="1:17" ht="21" customHeight="1" x14ac:dyDescent="0.35">
      <c r="A82" s="69" t="s">
        <v>124</v>
      </c>
      <c r="B82" s="69"/>
      <c r="C82" s="69"/>
      <c r="D82" s="69"/>
      <c r="E82" s="69"/>
      <c r="F82" s="69"/>
      <c r="G82" s="69"/>
      <c r="H82" s="69"/>
      <c r="I82" s="69"/>
      <c r="J82" s="69"/>
      <c r="K82" s="15"/>
      <c r="L82" s="2"/>
      <c r="M82" s="2"/>
      <c r="N82" s="2"/>
      <c r="O82" s="2"/>
    </row>
    <row r="83" spans="1:17" ht="26.25" x14ac:dyDescent="0.4">
      <c r="A83" s="71" t="s">
        <v>145</v>
      </c>
      <c r="B83" s="72"/>
      <c r="C83" s="72"/>
      <c r="D83" s="72"/>
      <c r="E83" s="72"/>
      <c r="F83" s="72"/>
      <c r="G83" s="72"/>
      <c r="H83" s="72"/>
      <c r="I83" s="72"/>
      <c r="J83" s="73"/>
      <c r="K83" s="21"/>
      <c r="L83" s="21"/>
      <c r="M83" s="21"/>
    </row>
    <row r="84" spans="1:17" ht="24" x14ac:dyDescent="0.4">
      <c r="A84" s="22" t="s">
        <v>11</v>
      </c>
      <c r="B84" s="4"/>
      <c r="K84" s="5"/>
      <c r="L84" s="2"/>
      <c r="M84" s="2"/>
      <c r="N84" s="2"/>
      <c r="O84" s="2"/>
    </row>
    <row r="85" spans="1:17" ht="21" x14ac:dyDescent="0.35">
      <c r="A85" s="70" t="s">
        <v>125</v>
      </c>
      <c r="B85" s="70"/>
      <c r="C85" s="70"/>
      <c r="D85" s="70"/>
      <c r="E85" s="70"/>
      <c r="F85" s="70"/>
      <c r="G85" s="70"/>
      <c r="H85" s="70"/>
      <c r="I85" s="70"/>
      <c r="J85" s="70"/>
      <c r="K85" s="11"/>
      <c r="L85" s="3"/>
      <c r="M85" s="3"/>
      <c r="N85" s="3"/>
      <c r="O85" s="3"/>
    </row>
    <row r="86" spans="1:17" ht="24" x14ac:dyDescent="0.4">
      <c r="A86" s="22" t="s">
        <v>12</v>
      </c>
      <c r="B86" s="4"/>
      <c r="K86" s="2"/>
      <c r="L86" s="2"/>
      <c r="M86" s="2"/>
      <c r="N86" s="2"/>
      <c r="O86" s="2"/>
    </row>
    <row r="87" spans="1:17" ht="50.25" customHeight="1" x14ac:dyDescent="0.35">
      <c r="A87" s="69" t="s">
        <v>150</v>
      </c>
      <c r="B87" s="69"/>
      <c r="C87" s="69"/>
      <c r="D87" s="69"/>
      <c r="E87" s="69"/>
      <c r="F87" s="69"/>
      <c r="G87" s="69"/>
      <c r="H87" s="69"/>
      <c r="I87" s="69"/>
      <c r="J87" s="69"/>
      <c r="K87" s="147"/>
      <c r="L87" s="147"/>
      <c r="M87" s="147"/>
      <c r="N87" s="147"/>
      <c r="O87" s="147"/>
      <c r="P87" s="147"/>
      <c r="Q87" s="147"/>
    </row>
    <row r="88" spans="1:17" ht="21" customHeight="1" x14ac:dyDescent="0.4">
      <c r="A88" s="22" t="s">
        <v>13</v>
      </c>
      <c r="B88" s="4"/>
    </row>
    <row r="89" spans="1:17" ht="64.900000000000006" customHeight="1" x14ac:dyDescent="0.35">
      <c r="A89" s="69" t="s">
        <v>134</v>
      </c>
      <c r="B89" s="69"/>
      <c r="C89" s="69"/>
      <c r="D89" s="69"/>
      <c r="E89" s="69"/>
      <c r="F89" s="69"/>
      <c r="G89" s="69"/>
      <c r="H89" s="69"/>
      <c r="I89" s="69"/>
      <c r="J89" s="69"/>
      <c r="K89" s="15"/>
    </row>
    <row r="90" spans="1:17" ht="21" customHeight="1" x14ac:dyDescent="0.4">
      <c r="A90" s="22" t="s">
        <v>14</v>
      </c>
      <c r="B90" s="4"/>
    </row>
    <row r="91" spans="1:17" ht="47.25" customHeight="1" x14ac:dyDescent="0.35">
      <c r="A91" s="69" t="s">
        <v>151</v>
      </c>
      <c r="B91" s="69"/>
      <c r="C91" s="69"/>
      <c r="D91" s="69"/>
      <c r="E91" s="69"/>
      <c r="F91" s="69"/>
      <c r="G91" s="69"/>
      <c r="H91" s="69"/>
      <c r="I91" s="69"/>
      <c r="J91" s="69"/>
      <c r="K91" s="146"/>
      <c r="L91" s="146"/>
      <c r="M91" s="146"/>
      <c r="N91" s="146"/>
      <c r="O91" s="146"/>
      <c r="P91" s="146"/>
    </row>
    <row r="92" spans="1:17" ht="21" customHeight="1" x14ac:dyDescent="0.4">
      <c r="A92" s="22" t="s">
        <v>15</v>
      </c>
      <c r="B92" s="4"/>
    </row>
    <row r="93" spans="1:17" ht="21" customHeight="1" x14ac:dyDescent="0.35">
      <c r="A93" s="69" t="s">
        <v>135</v>
      </c>
      <c r="B93" s="69"/>
      <c r="C93" s="69"/>
      <c r="D93" s="69"/>
      <c r="E93" s="69"/>
      <c r="F93" s="69"/>
      <c r="G93" s="69"/>
      <c r="H93" s="69"/>
      <c r="I93" s="69"/>
      <c r="J93" s="69"/>
      <c r="K93" s="15"/>
    </row>
    <row r="94" spans="1:17" ht="21" customHeight="1" x14ac:dyDescent="0.4">
      <c r="A94" s="23" t="s">
        <v>16</v>
      </c>
      <c r="B94" s="5"/>
    </row>
    <row r="95" spans="1:17" ht="21" customHeight="1" x14ac:dyDescent="0.35">
      <c r="A95" s="69" t="s">
        <v>136</v>
      </c>
      <c r="B95" s="69"/>
      <c r="C95" s="69"/>
      <c r="D95" s="69"/>
      <c r="E95" s="69"/>
      <c r="F95" s="69"/>
      <c r="G95" s="69"/>
      <c r="H95" s="69"/>
      <c r="I95" s="69"/>
      <c r="J95" s="69"/>
      <c r="K95" s="15"/>
    </row>
    <row r="96" spans="1:17" ht="26.25" x14ac:dyDescent="0.4">
      <c r="A96" s="71" t="s">
        <v>146</v>
      </c>
      <c r="B96" s="72"/>
      <c r="C96" s="72"/>
      <c r="D96" s="72"/>
      <c r="E96" s="72"/>
      <c r="F96" s="72"/>
      <c r="G96" s="72"/>
      <c r="H96" s="72"/>
      <c r="I96" s="72"/>
      <c r="J96" s="73"/>
      <c r="K96" s="21"/>
      <c r="L96" s="21"/>
      <c r="M96" s="21"/>
    </row>
    <row r="97" spans="1:15" ht="21" customHeight="1" x14ac:dyDescent="0.4">
      <c r="A97" s="22" t="s">
        <v>17</v>
      </c>
      <c r="B97" s="4"/>
    </row>
    <row r="98" spans="1:15" ht="46.5" customHeight="1" x14ac:dyDescent="0.35">
      <c r="A98" s="69" t="s">
        <v>164</v>
      </c>
      <c r="B98" s="69"/>
      <c r="C98" s="69"/>
      <c r="D98" s="69"/>
      <c r="E98" s="69"/>
      <c r="F98" s="69"/>
      <c r="G98" s="69"/>
      <c r="H98" s="69"/>
      <c r="I98" s="69"/>
      <c r="J98" s="69"/>
      <c r="K98" s="15"/>
    </row>
    <row r="99" spans="1:15" ht="21" customHeight="1" x14ac:dyDescent="0.4">
      <c r="A99" s="22" t="s">
        <v>18</v>
      </c>
      <c r="B99" s="4"/>
    </row>
    <row r="100" spans="1:15" ht="21" customHeight="1" x14ac:dyDescent="0.35">
      <c r="A100" s="69" t="s">
        <v>131</v>
      </c>
      <c r="B100" s="69"/>
      <c r="C100" s="69"/>
      <c r="D100" s="69"/>
      <c r="E100" s="69"/>
      <c r="F100" s="69"/>
      <c r="G100" s="69"/>
      <c r="H100" s="69"/>
      <c r="I100" s="69"/>
      <c r="J100" s="69"/>
      <c r="K100" s="15"/>
    </row>
    <row r="101" spans="1:15" ht="24" x14ac:dyDescent="0.4">
      <c r="A101" s="22" t="s">
        <v>19</v>
      </c>
      <c r="B101" s="4"/>
    </row>
    <row r="102" spans="1:15" ht="21" customHeight="1" x14ac:dyDescent="0.35">
      <c r="A102" s="69" t="s">
        <v>132</v>
      </c>
      <c r="B102" s="69"/>
      <c r="C102" s="69"/>
      <c r="D102" s="69"/>
      <c r="E102" s="69"/>
      <c r="F102" s="69"/>
      <c r="G102" s="69"/>
      <c r="H102" s="69"/>
      <c r="I102" s="69"/>
      <c r="J102" s="69"/>
      <c r="K102" s="15"/>
    </row>
    <row r="103" spans="1:15" ht="24" x14ac:dyDescent="0.4">
      <c r="A103" s="22" t="s">
        <v>20</v>
      </c>
      <c r="B103" s="4"/>
    </row>
    <row r="104" spans="1:15" ht="21" x14ac:dyDescent="0.35">
      <c r="A104" s="69" t="s">
        <v>133</v>
      </c>
      <c r="B104" s="69"/>
      <c r="C104" s="69"/>
      <c r="D104" s="69"/>
      <c r="E104" s="69"/>
      <c r="F104" s="69"/>
      <c r="G104" s="69"/>
      <c r="H104" s="69"/>
      <c r="I104" s="69"/>
      <c r="J104" s="69"/>
      <c r="K104" s="15"/>
    </row>
    <row r="105" spans="1:15" ht="24" x14ac:dyDescent="0.4">
      <c r="A105" s="23" t="s">
        <v>45</v>
      </c>
      <c r="B105" s="5"/>
    </row>
    <row r="106" spans="1:15" ht="21" customHeight="1" x14ac:dyDescent="0.35">
      <c r="A106" s="69" t="s">
        <v>137</v>
      </c>
      <c r="B106" s="69"/>
      <c r="C106" s="69"/>
      <c r="D106" s="69"/>
      <c r="E106" s="69"/>
      <c r="F106" s="69"/>
      <c r="G106" s="69"/>
      <c r="H106" s="69"/>
      <c r="I106" s="69"/>
      <c r="J106" s="69"/>
      <c r="K106" s="15"/>
    </row>
    <row r="107" spans="1:15" ht="26.25" x14ac:dyDescent="0.4">
      <c r="A107" s="71" t="s">
        <v>147</v>
      </c>
      <c r="B107" s="72"/>
      <c r="C107" s="72"/>
      <c r="D107" s="72"/>
      <c r="E107" s="72"/>
      <c r="F107" s="72"/>
      <c r="G107" s="72"/>
      <c r="H107" s="72"/>
      <c r="I107" s="72"/>
      <c r="J107" s="73"/>
      <c r="K107" s="21"/>
      <c r="L107" s="21"/>
      <c r="M107" s="21"/>
    </row>
    <row r="108" spans="1:15" ht="21" customHeight="1" x14ac:dyDescent="0.4">
      <c r="A108" s="22" t="s">
        <v>21</v>
      </c>
      <c r="B108" s="4"/>
      <c r="K108" s="2"/>
      <c r="L108" s="2"/>
      <c r="M108" s="2"/>
      <c r="N108" s="2"/>
      <c r="O108" s="2"/>
    </row>
    <row r="109" spans="1:15" ht="45.6" customHeight="1" x14ac:dyDescent="0.35">
      <c r="A109" s="69" t="s">
        <v>126</v>
      </c>
      <c r="B109" s="69"/>
      <c r="C109" s="69"/>
      <c r="D109" s="69"/>
      <c r="E109" s="69"/>
      <c r="F109" s="69"/>
      <c r="G109" s="69"/>
      <c r="H109" s="69"/>
      <c r="I109" s="69"/>
      <c r="J109" s="69"/>
      <c r="K109" s="15"/>
    </row>
    <row r="110" spans="1:15" ht="24" x14ac:dyDescent="0.4">
      <c r="A110" s="23" t="s">
        <v>22</v>
      </c>
      <c r="B110" s="5"/>
    </row>
    <row r="111" spans="1:15" ht="41.45" customHeight="1" x14ac:dyDescent="0.35">
      <c r="A111" s="69" t="s">
        <v>139</v>
      </c>
      <c r="B111" s="69"/>
      <c r="C111" s="69"/>
      <c r="D111" s="69"/>
      <c r="E111" s="69"/>
      <c r="F111" s="69"/>
      <c r="G111" s="69"/>
      <c r="H111" s="69"/>
      <c r="I111" s="69"/>
      <c r="J111" s="69"/>
      <c r="K111" s="15"/>
    </row>
    <row r="112" spans="1:15" ht="21" customHeight="1" x14ac:dyDescent="0.4">
      <c r="A112" s="23" t="s">
        <v>23</v>
      </c>
      <c r="B112" s="5"/>
    </row>
    <row r="113" spans="1:13" ht="47.25" customHeight="1" x14ac:dyDescent="0.35">
      <c r="A113" s="69" t="s">
        <v>140</v>
      </c>
      <c r="B113" s="69"/>
      <c r="C113" s="69"/>
      <c r="D113" s="69"/>
      <c r="E113" s="69"/>
      <c r="F113" s="69"/>
      <c r="G113" s="69"/>
      <c r="H113" s="69"/>
      <c r="I113" s="69"/>
      <c r="J113" s="69"/>
      <c r="K113" s="15"/>
    </row>
    <row r="114" spans="1:13" ht="24" x14ac:dyDescent="0.4">
      <c r="A114" s="23" t="s">
        <v>26</v>
      </c>
      <c r="B114" s="5"/>
    </row>
    <row r="115" spans="1:13" ht="26.45" customHeight="1" x14ac:dyDescent="0.35">
      <c r="A115" s="69" t="s">
        <v>141</v>
      </c>
      <c r="B115" s="69"/>
      <c r="C115" s="69"/>
      <c r="D115" s="69"/>
      <c r="E115" s="69"/>
      <c r="F115" s="69"/>
      <c r="G115" s="69"/>
      <c r="H115" s="69"/>
      <c r="I115" s="69"/>
      <c r="J115" s="69"/>
      <c r="K115" s="15"/>
    </row>
    <row r="116" spans="1:13" ht="24" x14ac:dyDescent="0.4">
      <c r="A116" s="23" t="s">
        <v>27</v>
      </c>
      <c r="B116" s="5"/>
    </row>
    <row r="117" spans="1:13" ht="43.5" customHeight="1" x14ac:dyDescent="0.35">
      <c r="A117" s="69" t="s">
        <v>142</v>
      </c>
      <c r="B117" s="69"/>
      <c r="C117" s="69"/>
      <c r="D117" s="69"/>
      <c r="E117" s="69"/>
      <c r="F117" s="69"/>
      <c r="G117" s="69"/>
      <c r="H117" s="69"/>
      <c r="I117" s="69"/>
      <c r="J117" s="69"/>
      <c r="K117" s="15"/>
    </row>
    <row r="118" spans="1:13" ht="26.25" x14ac:dyDescent="0.4">
      <c r="A118" s="71" t="s">
        <v>148</v>
      </c>
      <c r="B118" s="72"/>
      <c r="C118" s="72"/>
      <c r="D118" s="72"/>
      <c r="E118" s="72"/>
      <c r="F118" s="72"/>
      <c r="G118" s="72"/>
      <c r="H118" s="72"/>
      <c r="I118" s="72"/>
      <c r="J118" s="73"/>
      <c r="K118" s="21"/>
      <c r="L118" s="21"/>
      <c r="M118" s="21"/>
    </row>
    <row r="119" spans="1:13" ht="24" x14ac:dyDescent="0.4">
      <c r="A119" s="22" t="s">
        <v>28</v>
      </c>
      <c r="B119" s="4"/>
    </row>
    <row r="120" spans="1:13" ht="21" x14ac:dyDescent="0.35">
      <c r="A120" s="69" t="s">
        <v>127</v>
      </c>
      <c r="B120" s="69"/>
      <c r="C120" s="69"/>
      <c r="D120" s="69"/>
      <c r="E120" s="69"/>
      <c r="F120" s="69"/>
      <c r="G120" s="69"/>
      <c r="H120" s="69"/>
      <c r="I120" s="69"/>
      <c r="J120" s="69"/>
      <c r="K120" s="15"/>
    </row>
    <row r="121" spans="1:13" ht="24" x14ac:dyDescent="0.4">
      <c r="A121" s="22" t="s">
        <v>29</v>
      </c>
      <c r="B121" s="4"/>
    </row>
    <row r="122" spans="1:13" ht="21" x14ac:dyDescent="0.35">
      <c r="A122" s="69" t="s">
        <v>128</v>
      </c>
      <c r="B122" s="69"/>
      <c r="C122" s="69"/>
      <c r="D122" s="69"/>
      <c r="E122" s="69"/>
      <c r="F122" s="69"/>
      <c r="G122" s="69"/>
      <c r="H122" s="69"/>
      <c r="I122" s="69"/>
      <c r="J122" s="69"/>
      <c r="K122" s="15"/>
    </row>
    <row r="123" spans="1:13" ht="24" x14ac:dyDescent="0.4">
      <c r="A123" s="22" t="s">
        <v>30</v>
      </c>
      <c r="B123" s="4"/>
    </row>
    <row r="124" spans="1:13" ht="21.75" customHeight="1" x14ac:dyDescent="0.35">
      <c r="A124" s="69" t="s">
        <v>129</v>
      </c>
      <c r="B124" s="69"/>
      <c r="C124" s="69"/>
      <c r="D124" s="69"/>
      <c r="E124" s="69"/>
      <c r="F124" s="69"/>
      <c r="G124" s="69"/>
      <c r="H124" s="69"/>
      <c r="I124" s="69"/>
      <c r="J124" s="69"/>
      <c r="K124" s="15"/>
    </row>
    <row r="125" spans="1:13" ht="21" customHeight="1" x14ac:dyDescent="0.4">
      <c r="A125" s="22" t="s">
        <v>31</v>
      </c>
      <c r="B125" s="4"/>
    </row>
    <row r="126" spans="1:13" ht="40.5" customHeight="1" x14ac:dyDescent="0.35">
      <c r="A126" s="69" t="s">
        <v>130</v>
      </c>
      <c r="B126" s="69"/>
      <c r="C126" s="69"/>
      <c r="D126" s="69"/>
      <c r="E126" s="69"/>
      <c r="F126" s="69"/>
      <c r="G126" s="69"/>
      <c r="H126" s="69"/>
      <c r="I126" s="69"/>
      <c r="J126" s="69"/>
      <c r="K126" s="15"/>
    </row>
    <row r="127" spans="1:13" ht="24" x14ac:dyDescent="0.4">
      <c r="A127" s="23" t="s">
        <v>50</v>
      </c>
      <c r="B127" s="5"/>
    </row>
    <row r="128" spans="1:13" ht="26.25" customHeight="1" x14ac:dyDescent="0.35">
      <c r="A128" s="69" t="s">
        <v>138</v>
      </c>
      <c r="B128" s="69"/>
      <c r="C128" s="69"/>
      <c r="D128" s="69"/>
      <c r="E128" s="69"/>
      <c r="F128" s="69"/>
      <c r="G128" s="69"/>
      <c r="H128" s="69"/>
      <c r="I128" s="69"/>
      <c r="J128" s="69"/>
      <c r="K128" s="15"/>
    </row>
    <row r="129" spans="1:13" ht="26.25" x14ac:dyDescent="0.4">
      <c r="A129" s="71" t="s">
        <v>149</v>
      </c>
      <c r="B129" s="72"/>
      <c r="C129" s="72"/>
      <c r="D129" s="72"/>
      <c r="E129" s="72"/>
      <c r="F129" s="72"/>
      <c r="G129" s="72"/>
      <c r="H129" s="72"/>
      <c r="I129" s="72"/>
      <c r="J129" s="73"/>
      <c r="K129" s="21"/>
      <c r="L129" s="21"/>
      <c r="M129" s="21"/>
    </row>
    <row r="130" spans="1:13" ht="24" x14ac:dyDescent="0.4">
      <c r="A130" s="23" t="s">
        <v>51</v>
      </c>
      <c r="B130" s="5"/>
    </row>
    <row r="131" spans="1:13" ht="45" customHeight="1" x14ac:dyDescent="0.35">
      <c r="A131" s="69" t="s">
        <v>143</v>
      </c>
      <c r="B131" s="69"/>
      <c r="C131" s="69"/>
      <c r="D131" s="69"/>
      <c r="E131" s="69"/>
      <c r="F131" s="69"/>
      <c r="G131" s="69"/>
      <c r="H131" s="69"/>
      <c r="I131" s="69"/>
      <c r="J131" s="69"/>
      <c r="K131" s="15"/>
    </row>
    <row r="132" spans="1:13" ht="24" x14ac:dyDescent="0.4">
      <c r="A132" s="23" t="s">
        <v>120</v>
      </c>
      <c r="B132" s="5"/>
    </row>
    <row r="133" spans="1:13" ht="188.25" customHeight="1" x14ac:dyDescent="0.35">
      <c r="A133" s="69" t="s">
        <v>158</v>
      </c>
      <c r="B133" s="69"/>
      <c r="C133" s="69"/>
      <c r="D133" s="69"/>
      <c r="E133" s="69"/>
      <c r="F133" s="69"/>
      <c r="G133" s="69"/>
      <c r="H133" s="69"/>
      <c r="I133" s="69"/>
      <c r="J133" s="69"/>
      <c r="K133" s="50"/>
    </row>
    <row r="136" spans="1:13" ht="36.75" customHeight="1" x14ac:dyDescent="0.25">
      <c r="B136" s="78" t="s">
        <v>53</v>
      </c>
      <c r="C136" s="79"/>
      <c r="D136" s="79"/>
      <c r="E136" s="80"/>
      <c r="F136" s="81" t="s">
        <v>152</v>
      </c>
      <c r="G136" s="82"/>
      <c r="H136" s="82"/>
      <c r="I136" s="82"/>
      <c r="J136" s="83"/>
    </row>
    <row r="137" spans="1:13" ht="21" x14ac:dyDescent="0.35">
      <c r="B137" s="35" t="s">
        <v>32</v>
      </c>
      <c r="C137" s="152"/>
      <c r="D137" s="152"/>
      <c r="E137" s="153"/>
      <c r="F137" s="35" t="s">
        <v>32</v>
      </c>
      <c r="G137" s="152"/>
      <c r="H137" s="152"/>
      <c r="I137" s="152"/>
      <c r="J137" s="153"/>
    </row>
    <row r="138" spans="1:13" x14ac:dyDescent="0.25">
      <c r="B138" s="48"/>
      <c r="C138" s="8"/>
      <c r="E138" s="31"/>
      <c r="F138" s="48"/>
      <c r="G138" s="8"/>
      <c r="J138" s="31"/>
    </row>
    <row r="139" spans="1:13" ht="21" x14ac:dyDescent="0.35">
      <c r="B139" s="35" t="s">
        <v>52</v>
      </c>
      <c r="C139" s="152"/>
      <c r="D139" s="152"/>
      <c r="E139" s="153"/>
      <c r="F139" s="35" t="s">
        <v>52</v>
      </c>
      <c r="G139" s="152"/>
      <c r="H139" s="152"/>
      <c r="I139" s="152"/>
      <c r="J139" s="153"/>
    </row>
    <row r="140" spans="1:13" ht="21" x14ac:dyDescent="0.35">
      <c r="B140" s="51"/>
      <c r="C140" s="158"/>
      <c r="D140" s="158"/>
      <c r="E140" s="159"/>
      <c r="F140" s="51"/>
      <c r="G140" s="154" t="s">
        <v>166</v>
      </c>
      <c r="H140" s="154"/>
      <c r="I140" s="154"/>
      <c r="J140" s="155"/>
    </row>
    <row r="141" spans="1:13" ht="31.5" customHeight="1" x14ac:dyDescent="0.35">
      <c r="B141" s="51"/>
      <c r="C141" s="77"/>
      <c r="D141" s="77"/>
      <c r="E141" s="89"/>
      <c r="F141" s="35" t="s">
        <v>160</v>
      </c>
      <c r="G141" s="152"/>
      <c r="H141" s="152"/>
      <c r="I141" s="152"/>
      <c r="J141" s="153"/>
    </row>
    <row r="142" spans="1:13" ht="42" customHeight="1" x14ac:dyDescent="0.35">
      <c r="B142" s="49"/>
      <c r="C142" s="27"/>
      <c r="D142" s="27"/>
      <c r="E142" s="32"/>
      <c r="F142" s="49"/>
      <c r="G142" s="156" t="s">
        <v>161</v>
      </c>
      <c r="H142" s="156"/>
      <c r="I142" s="156"/>
      <c r="J142" s="157"/>
    </row>
  </sheetData>
  <mergeCells count="194">
    <mergeCell ref="B136:E136"/>
    <mergeCell ref="F136:J136"/>
    <mergeCell ref="G137:J137"/>
    <mergeCell ref="G139:J139"/>
    <mergeCell ref="G140:J140"/>
    <mergeCell ref="G142:J142"/>
    <mergeCell ref="G141:J141"/>
    <mergeCell ref="C137:E137"/>
    <mergeCell ref="C139:E139"/>
    <mergeCell ref="C140:E140"/>
    <mergeCell ref="C141:E141"/>
    <mergeCell ref="A133:J133"/>
    <mergeCell ref="A129:J129"/>
    <mergeCell ref="E65:F65"/>
    <mergeCell ref="E66:F66"/>
    <mergeCell ref="E67:F67"/>
    <mergeCell ref="C65:D65"/>
    <mergeCell ref="C66:D66"/>
    <mergeCell ref="C67:D67"/>
    <mergeCell ref="C71:J73"/>
    <mergeCell ref="A78:J78"/>
    <mergeCell ref="A111:J111"/>
    <mergeCell ref="A128:J128"/>
    <mergeCell ref="A106:J106"/>
    <mergeCell ref="A95:J95"/>
    <mergeCell ref="A93:J93"/>
    <mergeCell ref="A91:J91"/>
    <mergeCell ref="A89:J89"/>
    <mergeCell ref="A104:J104"/>
    <mergeCell ref="A102:J102"/>
    <mergeCell ref="A100:J100"/>
    <mergeCell ref="A98:J98"/>
    <mergeCell ref="O66:P66"/>
    <mergeCell ref="O67:P67"/>
    <mergeCell ref="O62:P62"/>
    <mergeCell ref="O63:P63"/>
    <mergeCell ref="O64:P64"/>
    <mergeCell ref="O65:P65"/>
    <mergeCell ref="K91:P91"/>
    <mergeCell ref="K87:Q87"/>
    <mergeCell ref="A131:J131"/>
    <mergeCell ref="A69:J69"/>
    <mergeCell ref="E15:I15"/>
    <mergeCell ref="E16:I16"/>
    <mergeCell ref="E17:I17"/>
    <mergeCell ref="E48:F48"/>
    <mergeCell ref="E47:F47"/>
    <mergeCell ref="E46:F46"/>
    <mergeCell ref="E45:F45"/>
    <mergeCell ref="E44:F44"/>
    <mergeCell ref="E43:F43"/>
    <mergeCell ref="A39:J39"/>
    <mergeCell ref="A31:J31"/>
    <mergeCell ref="A37:D37"/>
    <mergeCell ref="A36:D36"/>
    <mergeCell ref="A38:D38"/>
    <mergeCell ref="G40:J40"/>
    <mergeCell ref="G41:J41"/>
    <mergeCell ref="A41:B41"/>
    <mergeCell ref="B25:D25"/>
    <mergeCell ref="A42:B42"/>
    <mergeCell ref="A29:D29"/>
    <mergeCell ref="F24:J24"/>
    <mergeCell ref="I35:J35"/>
    <mergeCell ref="A33:D33"/>
    <mergeCell ref="A35:D35"/>
    <mergeCell ref="A30:J30"/>
    <mergeCell ref="E37:J37"/>
    <mergeCell ref="B21:D22"/>
    <mergeCell ref="B24:D24"/>
    <mergeCell ref="I33:J33"/>
    <mergeCell ref="I34:J34"/>
    <mergeCell ref="A61:B61"/>
    <mergeCell ref="G50:J50"/>
    <mergeCell ref="G51:J51"/>
    <mergeCell ref="G52:J52"/>
    <mergeCell ref="C52:D52"/>
    <mergeCell ref="E52:F52"/>
    <mergeCell ref="E51:F51"/>
    <mergeCell ref="E49:F49"/>
    <mergeCell ref="C51:D51"/>
    <mergeCell ref="C50:D50"/>
    <mergeCell ref="C49:D49"/>
    <mergeCell ref="E50:F50"/>
    <mergeCell ref="E53:F53"/>
    <mergeCell ref="G61:J61"/>
    <mergeCell ref="G60:J60"/>
    <mergeCell ref="B26:D26"/>
    <mergeCell ref="A52:B52"/>
    <mergeCell ref="A50:B50"/>
    <mergeCell ref="A51:B51"/>
    <mergeCell ref="A58:B58"/>
    <mergeCell ref="A53:B53"/>
    <mergeCell ref="A54:B54"/>
    <mergeCell ref="A55:B55"/>
    <mergeCell ref="O60:P60"/>
    <mergeCell ref="O61:P61"/>
    <mergeCell ref="G67:J67"/>
    <mergeCell ref="G66:J66"/>
    <mergeCell ref="G65:J65"/>
    <mergeCell ref="G64:J64"/>
    <mergeCell ref="A62:B62"/>
    <mergeCell ref="A63:B63"/>
    <mergeCell ref="A56:B56"/>
    <mergeCell ref="A57:B57"/>
    <mergeCell ref="A59:B59"/>
    <mergeCell ref="A60:B60"/>
    <mergeCell ref="C64:F64"/>
    <mergeCell ref="G63:J63"/>
    <mergeCell ref="G62:J62"/>
    <mergeCell ref="O53:P53"/>
    <mergeCell ref="O54:P54"/>
    <mergeCell ref="O55:P55"/>
    <mergeCell ref="O56:P56"/>
    <mergeCell ref="O57:P57"/>
    <mergeCell ref="O58:P58"/>
    <mergeCell ref="O59:P59"/>
    <mergeCell ref="G54:J54"/>
    <mergeCell ref="G53:J53"/>
    <mergeCell ref="G59:J59"/>
    <mergeCell ref="G58:J58"/>
    <mergeCell ref="G57:J57"/>
    <mergeCell ref="G56:J56"/>
    <mergeCell ref="G55:J55"/>
    <mergeCell ref="E40:F40"/>
    <mergeCell ref="C41:D41"/>
    <mergeCell ref="E38:J38"/>
    <mergeCell ref="C42:D42"/>
    <mergeCell ref="A48:B48"/>
    <mergeCell ref="A46:B46"/>
    <mergeCell ref="A47:B47"/>
    <mergeCell ref="C44:D44"/>
    <mergeCell ref="A45:B45"/>
    <mergeCell ref="C45:D45"/>
    <mergeCell ref="C48:D48"/>
    <mergeCell ref="C47:D47"/>
    <mergeCell ref="A44:B44"/>
    <mergeCell ref="C46:D46"/>
    <mergeCell ref="C43:D43"/>
    <mergeCell ref="G43:J43"/>
    <mergeCell ref="G44:J44"/>
    <mergeCell ref="G45:J45"/>
    <mergeCell ref="G46:J46"/>
    <mergeCell ref="G47:J47"/>
    <mergeCell ref="G42:J42"/>
    <mergeCell ref="A43:B43"/>
    <mergeCell ref="G49:J49"/>
    <mergeCell ref="A75:J75"/>
    <mergeCell ref="A76:J76"/>
    <mergeCell ref="C14:F14"/>
    <mergeCell ref="A18:D18"/>
    <mergeCell ref="E18:J18"/>
    <mergeCell ref="E21:G21"/>
    <mergeCell ref="H21:J22"/>
    <mergeCell ref="E22:G22"/>
    <mergeCell ref="B23:D23"/>
    <mergeCell ref="E23:G23"/>
    <mergeCell ref="H23:J23"/>
    <mergeCell ref="B19:D19"/>
    <mergeCell ref="E19:G19"/>
    <mergeCell ref="H19:J19"/>
    <mergeCell ref="B20:D20"/>
    <mergeCell ref="E20:G20"/>
    <mergeCell ref="H20:J20"/>
    <mergeCell ref="A40:B40"/>
    <mergeCell ref="C40:D40"/>
    <mergeCell ref="E32:J32"/>
    <mergeCell ref="E36:J36"/>
    <mergeCell ref="E42:F42"/>
    <mergeCell ref="E41:F41"/>
    <mergeCell ref="A34:D34"/>
    <mergeCell ref="A32:D32"/>
    <mergeCell ref="E33:F33"/>
    <mergeCell ref="E34:F34"/>
    <mergeCell ref="E35:F35"/>
    <mergeCell ref="A27:B27"/>
    <mergeCell ref="A126:J126"/>
    <mergeCell ref="A124:J124"/>
    <mergeCell ref="A122:J122"/>
    <mergeCell ref="A120:J120"/>
    <mergeCell ref="A109:J109"/>
    <mergeCell ref="A87:J87"/>
    <mergeCell ref="A85:J85"/>
    <mergeCell ref="A82:J82"/>
    <mergeCell ref="A80:J80"/>
    <mergeCell ref="A83:J83"/>
    <mergeCell ref="A96:J96"/>
    <mergeCell ref="A107:J107"/>
    <mergeCell ref="A118:J118"/>
    <mergeCell ref="A117:J117"/>
    <mergeCell ref="A115:J115"/>
    <mergeCell ref="A113:J113"/>
    <mergeCell ref="A49:B49"/>
    <mergeCell ref="G48:J48"/>
  </mergeCells>
  <hyperlinks>
    <hyperlink ref="F24" r:id="rId1" xr:uid="{D76B5D8A-020D-4C59-910F-E0229C191498}"/>
    <hyperlink ref="A29" r:id="rId2" xr:uid="{7C32DFD1-6D11-439D-9ACD-CDFF57BBABDC}"/>
  </hyperlinks>
  <printOptions horizontalCentered="1"/>
  <pageMargins left="0.23622047244094491" right="0.23622047244094491" top="0" bottom="0" header="0.31496062992125984" footer="0.31496062992125984"/>
  <pageSetup scale="42" fitToHeight="0" orientation="portrait" r:id="rId3"/>
  <rowBreaks count="2" manualBreakCount="2">
    <brk id="67" max="9" man="1"/>
    <brk id="120" max="9" man="1"/>
  </rowBreak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Salles et plateaux</vt:lpstr>
      <vt:lpstr>Salle poly et SFB</vt:lpstr>
      <vt:lpstr>'Salle poly et SFB'!Zone_d_impression</vt:lpstr>
      <vt:lpstr>'Salles et plateaux'!Zone_d_impression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Aliya Oranger</dc:creator>
  <cp:lastModifiedBy>Kim Lavoie</cp:lastModifiedBy>
  <cp:lastPrinted>2025-09-16T19:07:30Z</cp:lastPrinted>
  <dcterms:created xsi:type="dcterms:W3CDTF">2025-06-02T21:30:02Z</dcterms:created>
  <dcterms:modified xsi:type="dcterms:W3CDTF">2026-07-04T14:01:47Z</dcterms:modified>
</cp:coreProperties>
</file>